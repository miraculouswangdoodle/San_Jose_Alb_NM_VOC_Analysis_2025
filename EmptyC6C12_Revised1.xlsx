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nmm-my.sharepoint.com/personal/anjalim_unm_edu/Documents/Research/Students/_Jaimie Ritchie/Air Quality Shared/QC/Data Processing/RT Adjustment C6C12/"/>
    </mc:Choice>
  </mc:AlternateContent>
  <xr:revisionPtr revIDLastSave="178" documentId="8_{552F7593-93CB-45FD-9D2A-B5B90EAAF45B}" xr6:coauthVersionLast="47" xr6:coauthVersionMax="47" xr10:uidLastSave="{13DB1443-FC22-4580-9FD4-E4A55BEFAB62}"/>
  <bookViews>
    <workbookView xWindow="-108" yWindow="-108" windowWidth="23256" windowHeight="12456" xr2:uid="{E6A8316E-3CDF-4E00-B9C2-2EE728215C3D}"/>
  </bookViews>
  <sheets>
    <sheet name="valid" sheetId="3" r:id="rId1"/>
    <sheet name="C6C12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3" l="1"/>
  <c r="O4" i="3"/>
  <c r="N5" i="3"/>
  <c r="O5" i="3" s="1"/>
  <c r="N6" i="3"/>
  <c r="O6" i="3"/>
  <c r="N7" i="3"/>
  <c r="O7" i="3"/>
  <c r="N8" i="3"/>
  <c r="O8" i="3"/>
  <c r="N9" i="3"/>
  <c r="O9" i="3"/>
  <c r="N10" i="3"/>
  <c r="O10" i="3"/>
  <c r="M4" i="3"/>
  <c r="M5" i="3"/>
  <c r="M6" i="3"/>
  <c r="M7" i="3"/>
  <c r="M8" i="3"/>
  <c r="M9" i="3"/>
  <c r="M10" i="3"/>
  <c r="L4" i="3"/>
  <c r="L5" i="3"/>
  <c r="L6" i="3"/>
  <c r="L7" i="3"/>
  <c r="L8" i="3"/>
  <c r="L9" i="3"/>
  <c r="L10" i="3"/>
  <c r="J4" i="3"/>
  <c r="K4" i="3"/>
  <c r="K10" i="3"/>
  <c r="K7" i="3"/>
  <c r="G37" i="3"/>
  <c r="H37" i="3" s="1"/>
  <c r="G36" i="3"/>
  <c r="H36" i="3" s="1"/>
  <c r="G35" i="3"/>
  <c r="H35" i="3" s="1"/>
  <c r="G34" i="3"/>
  <c r="H34" i="3" s="1"/>
  <c r="G33" i="3"/>
  <c r="H33" i="3" s="1"/>
  <c r="G32" i="3"/>
  <c r="H32" i="3" s="1"/>
  <c r="G31" i="3"/>
  <c r="H31" i="3" s="1"/>
  <c r="G30" i="3"/>
  <c r="H30" i="3" s="1"/>
  <c r="G29" i="3"/>
  <c r="H29" i="3" s="1"/>
  <c r="G28" i="3"/>
  <c r="H28" i="3" s="1"/>
  <c r="G27" i="3"/>
  <c r="H27" i="3" s="1"/>
  <c r="G26" i="3"/>
  <c r="H26" i="3" s="1"/>
  <c r="G25" i="3"/>
  <c r="H25" i="3" s="1"/>
  <c r="G24" i="3"/>
  <c r="H24" i="3" s="1"/>
  <c r="G23" i="3"/>
  <c r="H23" i="3" s="1"/>
  <c r="G22" i="3"/>
  <c r="H22" i="3" s="1"/>
  <c r="G21" i="3"/>
  <c r="H21" i="3" s="1"/>
  <c r="G20" i="3"/>
  <c r="H20" i="3" s="1"/>
  <c r="G19" i="3"/>
  <c r="H19" i="3" s="1"/>
  <c r="G18" i="3"/>
  <c r="H18" i="3" s="1"/>
  <c r="G17" i="3"/>
  <c r="H17" i="3" s="1"/>
  <c r="G16" i="3"/>
  <c r="H16" i="3" s="1"/>
  <c r="G15" i="3"/>
  <c r="H15" i="3" s="1"/>
  <c r="G14" i="3"/>
  <c r="H14" i="3" s="1"/>
  <c r="G13" i="3"/>
  <c r="H13" i="3" s="1"/>
  <c r="G12" i="3"/>
  <c r="H12" i="3" s="1"/>
  <c r="G11" i="3"/>
  <c r="H11" i="3" s="1"/>
  <c r="G10" i="3"/>
  <c r="H10" i="3" s="1"/>
  <c r="J10" i="3" s="1"/>
  <c r="G9" i="3"/>
  <c r="H9" i="3" s="1"/>
  <c r="J9" i="3" s="1"/>
  <c r="K9" i="3" s="1"/>
  <c r="G8" i="3"/>
  <c r="H8" i="3" s="1"/>
  <c r="J8" i="3" s="1"/>
  <c r="K8" i="3" s="1"/>
  <c r="J7" i="3"/>
  <c r="G6" i="3"/>
  <c r="H6" i="3" s="1"/>
  <c r="G5" i="3"/>
  <c r="H5" i="3" s="1"/>
  <c r="G4" i="3"/>
  <c r="H4" i="3" s="1"/>
  <c r="J37" i="3" l="1"/>
  <c r="K37" i="3" s="1"/>
  <c r="N37" i="3" s="1"/>
  <c r="O37" i="3" s="1"/>
  <c r="J16" i="3"/>
  <c r="K16" i="3" s="1"/>
  <c r="J22" i="3"/>
  <c r="K22" i="3" s="1"/>
  <c r="N22" i="3" s="1"/>
  <c r="O22" i="3" s="1"/>
  <c r="J32" i="3"/>
  <c r="K32" i="3" s="1"/>
  <c r="J12" i="3"/>
  <c r="K12" i="3" s="1"/>
  <c r="J5" i="3"/>
  <c r="K5" i="3" s="1"/>
  <c r="J26" i="3"/>
  <c r="K26" i="3" s="1"/>
  <c r="N26" i="3" s="1"/>
  <c r="O26" i="3" s="1"/>
  <c r="J6" i="3"/>
  <c r="K6" i="3" s="1"/>
  <c r="J28" i="3"/>
  <c r="K28" i="3" s="1"/>
  <c r="N28" i="3" s="1"/>
  <c r="O28" i="3" s="1"/>
  <c r="J34" i="3"/>
  <c r="K34" i="3" s="1"/>
  <c r="J18" i="3"/>
  <c r="K18" i="3" s="1"/>
  <c r="N18" i="3" s="1"/>
  <c r="O18" i="3" s="1"/>
  <c r="J30" i="3"/>
  <c r="K30" i="3" s="1"/>
  <c r="J20" i="3"/>
  <c r="K20" i="3" s="1"/>
  <c r="N20" i="3" s="1"/>
  <c r="O20" i="3" s="1"/>
  <c r="J24" i="3"/>
  <c r="K24" i="3" s="1"/>
  <c r="N24" i="3" s="1"/>
  <c r="O24" i="3" s="1"/>
  <c r="J14" i="3"/>
  <c r="K14" i="3" s="1"/>
  <c r="N14" i="3" s="1"/>
  <c r="O14" i="3" s="1"/>
  <c r="J36" i="3"/>
  <c r="K36" i="3" s="1"/>
  <c r="N36" i="3" s="1"/>
  <c r="O36" i="3" s="1"/>
  <c r="J33" i="3"/>
  <c r="K33" i="3" s="1"/>
  <c r="N33" i="3" s="1"/>
  <c r="O33" i="3" s="1"/>
  <c r="J11" i="3"/>
  <c r="K11" i="3" s="1"/>
  <c r="N11" i="3" s="1"/>
  <c r="O11" i="3" s="1"/>
  <c r="J13" i="3"/>
  <c r="K13" i="3" s="1"/>
  <c r="N13" i="3" s="1"/>
  <c r="O13" i="3" s="1"/>
  <c r="J15" i="3"/>
  <c r="K15" i="3" s="1"/>
  <c r="J17" i="3"/>
  <c r="K17" i="3" s="1"/>
  <c r="J19" i="3"/>
  <c r="K19" i="3" s="1"/>
  <c r="J21" i="3"/>
  <c r="K21" i="3" s="1"/>
  <c r="J23" i="3"/>
  <c r="K23" i="3" s="1"/>
  <c r="N23" i="3" s="1"/>
  <c r="O23" i="3" s="1"/>
  <c r="J25" i="3"/>
  <c r="K25" i="3" s="1"/>
  <c r="J27" i="3"/>
  <c r="K27" i="3" s="1"/>
  <c r="J29" i="3"/>
  <c r="K29" i="3" s="1"/>
  <c r="N29" i="3" s="1"/>
  <c r="O29" i="3" s="1"/>
  <c r="J31" i="3"/>
  <c r="K31" i="3" s="1"/>
  <c r="J35" i="3"/>
  <c r="K35" i="3" s="1"/>
  <c r="J17" i="1"/>
  <c r="J12" i="1"/>
  <c r="J13" i="1"/>
  <c r="J14" i="1"/>
  <c r="J15" i="1"/>
  <c r="J16" i="1"/>
  <c r="J18" i="1"/>
  <c r="J19" i="1"/>
  <c r="J20" i="1"/>
  <c r="J21" i="1"/>
  <c r="J22" i="1"/>
  <c r="J23" i="1"/>
  <c r="J24" i="1"/>
  <c r="J25" i="1"/>
  <c r="J26" i="1"/>
  <c r="J28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9" i="1"/>
  <c r="J10" i="1"/>
  <c r="G29" i="1"/>
  <c r="H29" i="1" s="1"/>
  <c r="G11" i="1"/>
  <c r="H11" i="1" s="1"/>
  <c r="G103" i="1"/>
  <c r="H103" i="1" s="1"/>
  <c r="G102" i="1"/>
  <c r="H102" i="1" s="1"/>
  <c r="G101" i="1"/>
  <c r="H101" i="1" s="1"/>
  <c r="G100" i="1"/>
  <c r="H100" i="1" s="1"/>
  <c r="G99" i="1"/>
  <c r="H99" i="1" s="1"/>
  <c r="G98" i="1"/>
  <c r="H98" i="1" s="1"/>
  <c r="G97" i="1"/>
  <c r="H97" i="1" s="1"/>
  <c r="K97" i="1" s="1"/>
  <c r="G96" i="1"/>
  <c r="H96" i="1" s="1"/>
  <c r="G95" i="1"/>
  <c r="H95" i="1" s="1"/>
  <c r="G94" i="1"/>
  <c r="H94" i="1" s="1"/>
  <c r="G93" i="1"/>
  <c r="H93" i="1" s="1"/>
  <c r="G92" i="1"/>
  <c r="H92" i="1" s="1"/>
  <c r="G91" i="1"/>
  <c r="H91" i="1" s="1"/>
  <c r="G90" i="1"/>
  <c r="H90" i="1" s="1"/>
  <c r="G89" i="1"/>
  <c r="H89" i="1" s="1"/>
  <c r="K89" i="1" s="1"/>
  <c r="G88" i="1"/>
  <c r="H88" i="1" s="1"/>
  <c r="G87" i="1"/>
  <c r="H87" i="1" s="1"/>
  <c r="K87" i="1" s="1"/>
  <c r="G86" i="1"/>
  <c r="H86" i="1" s="1"/>
  <c r="G85" i="1"/>
  <c r="H85" i="1" s="1"/>
  <c r="G84" i="1"/>
  <c r="H84" i="1" s="1"/>
  <c r="K84" i="1" s="1"/>
  <c r="M84" i="1" s="1"/>
  <c r="G83" i="1"/>
  <c r="H83" i="1" s="1"/>
  <c r="G82" i="1"/>
  <c r="H82" i="1" s="1"/>
  <c r="G81" i="1"/>
  <c r="H81" i="1" s="1"/>
  <c r="K81" i="1" s="1"/>
  <c r="G80" i="1"/>
  <c r="H80" i="1" s="1"/>
  <c r="G79" i="1"/>
  <c r="H79" i="1" s="1"/>
  <c r="K79" i="1" s="1"/>
  <c r="G78" i="1"/>
  <c r="H78" i="1" s="1"/>
  <c r="G77" i="1"/>
  <c r="H77" i="1" s="1"/>
  <c r="G76" i="1"/>
  <c r="H76" i="1" s="1"/>
  <c r="G75" i="1"/>
  <c r="H75" i="1" s="1"/>
  <c r="K75" i="1" s="1"/>
  <c r="G74" i="1"/>
  <c r="H74" i="1" s="1"/>
  <c r="G73" i="1"/>
  <c r="H73" i="1" s="1"/>
  <c r="K73" i="1" s="1"/>
  <c r="G72" i="1"/>
  <c r="H72" i="1" s="1"/>
  <c r="G71" i="1"/>
  <c r="H71" i="1" s="1"/>
  <c r="K71" i="1" s="1"/>
  <c r="G70" i="1"/>
  <c r="H70" i="1" s="1"/>
  <c r="G69" i="1"/>
  <c r="H69" i="1" s="1"/>
  <c r="K69" i="1" s="1"/>
  <c r="G68" i="1"/>
  <c r="H68" i="1" s="1"/>
  <c r="G67" i="1"/>
  <c r="H67" i="1" s="1"/>
  <c r="K67" i="1" s="1"/>
  <c r="G66" i="1"/>
  <c r="H66" i="1" s="1"/>
  <c r="G65" i="1"/>
  <c r="H65" i="1" s="1"/>
  <c r="K65" i="1" s="1"/>
  <c r="G64" i="1"/>
  <c r="H64" i="1" s="1"/>
  <c r="G63" i="1"/>
  <c r="H63" i="1" s="1"/>
  <c r="K63" i="1" s="1"/>
  <c r="G62" i="1"/>
  <c r="H62" i="1" s="1"/>
  <c r="G61" i="1"/>
  <c r="H61" i="1" s="1"/>
  <c r="G60" i="1"/>
  <c r="H60" i="1" s="1"/>
  <c r="G59" i="1"/>
  <c r="H59" i="1" s="1"/>
  <c r="K59" i="1" s="1"/>
  <c r="G58" i="1"/>
  <c r="H58" i="1" s="1"/>
  <c r="G57" i="1"/>
  <c r="H57" i="1" s="1"/>
  <c r="K57" i="1" s="1"/>
  <c r="G56" i="1"/>
  <c r="H56" i="1" s="1"/>
  <c r="G55" i="1"/>
  <c r="H55" i="1" s="1"/>
  <c r="K55" i="1" s="1"/>
  <c r="G54" i="1"/>
  <c r="H54" i="1" s="1"/>
  <c r="G53" i="1"/>
  <c r="H53" i="1" s="1"/>
  <c r="K53" i="1" s="1"/>
  <c r="G52" i="1"/>
  <c r="H52" i="1" s="1"/>
  <c r="K52" i="1" s="1"/>
  <c r="L52" i="1" s="1"/>
  <c r="G51" i="1"/>
  <c r="H51" i="1" s="1"/>
  <c r="K51" i="1" s="1"/>
  <c r="G50" i="1"/>
  <c r="H50" i="1" s="1"/>
  <c r="G49" i="1"/>
  <c r="H49" i="1" s="1"/>
  <c r="K49" i="1" s="1"/>
  <c r="G48" i="1"/>
  <c r="H48" i="1" s="1"/>
  <c r="G47" i="1"/>
  <c r="H47" i="1" s="1"/>
  <c r="K47" i="1" s="1"/>
  <c r="G46" i="1"/>
  <c r="H46" i="1" s="1"/>
  <c r="G45" i="1"/>
  <c r="H45" i="1" s="1"/>
  <c r="G44" i="1"/>
  <c r="H44" i="1" s="1"/>
  <c r="G43" i="1"/>
  <c r="H43" i="1" s="1"/>
  <c r="G42" i="1"/>
  <c r="H42" i="1" s="1"/>
  <c r="G41" i="1"/>
  <c r="H41" i="1" s="1"/>
  <c r="G40" i="1"/>
  <c r="H40" i="1" s="1"/>
  <c r="G39" i="1"/>
  <c r="H39" i="1" s="1"/>
  <c r="G38" i="1"/>
  <c r="H38" i="1" s="1"/>
  <c r="G37" i="1"/>
  <c r="H37" i="1" s="1"/>
  <c r="G36" i="1"/>
  <c r="H36" i="1" s="1"/>
  <c r="G35" i="1"/>
  <c r="H35" i="1" s="1"/>
  <c r="G34" i="1"/>
  <c r="H34" i="1" s="1"/>
  <c r="G33" i="1"/>
  <c r="H33" i="1" s="1"/>
  <c r="G32" i="1"/>
  <c r="H32" i="1" s="1"/>
  <c r="G31" i="1"/>
  <c r="H31" i="1" s="1"/>
  <c r="G30" i="1"/>
  <c r="H30" i="1" s="1"/>
  <c r="G28" i="1"/>
  <c r="H28" i="1" s="1"/>
  <c r="G26" i="1"/>
  <c r="H26" i="1" s="1"/>
  <c r="G25" i="1"/>
  <c r="H25" i="1" s="1"/>
  <c r="G24" i="1"/>
  <c r="H24" i="1" s="1"/>
  <c r="G23" i="1"/>
  <c r="H23" i="1" s="1"/>
  <c r="G22" i="1"/>
  <c r="H22" i="1" s="1"/>
  <c r="G21" i="1"/>
  <c r="H21" i="1" s="1"/>
  <c r="G20" i="1"/>
  <c r="H20" i="1" s="1"/>
  <c r="G19" i="1"/>
  <c r="H19" i="1" s="1"/>
  <c r="G18" i="1"/>
  <c r="H18" i="1" s="1"/>
  <c r="G16" i="1"/>
  <c r="H16" i="1" s="1"/>
  <c r="G15" i="1"/>
  <c r="H15" i="1" s="1"/>
  <c r="G14" i="1"/>
  <c r="H14" i="1" s="1"/>
  <c r="G13" i="1"/>
  <c r="H13" i="1" s="1"/>
  <c r="G12" i="1"/>
  <c r="H12" i="1" s="1"/>
  <c r="G10" i="1"/>
  <c r="H10" i="1" s="1"/>
  <c r="G9" i="1"/>
  <c r="H9" i="1" s="1"/>
  <c r="G8" i="1"/>
  <c r="H8" i="1" s="1"/>
  <c r="G7" i="1"/>
  <c r="H7" i="1" s="1"/>
  <c r="G6" i="1"/>
  <c r="H6" i="1" s="1"/>
  <c r="G5" i="1"/>
  <c r="H5" i="1" s="1"/>
  <c r="G4" i="1"/>
  <c r="H4" i="1" s="1"/>
  <c r="M31" i="3" l="1"/>
  <c r="L31" i="3"/>
  <c r="M29" i="3"/>
  <c r="L29" i="3"/>
  <c r="L14" i="3"/>
  <c r="M14" i="3"/>
  <c r="M34" i="3"/>
  <c r="L34" i="3"/>
  <c r="L32" i="3"/>
  <c r="M32" i="3"/>
  <c r="M27" i="3"/>
  <c r="L27" i="3"/>
  <c r="M24" i="3"/>
  <c r="L24" i="3"/>
  <c r="N34" i="3"/>
  <c r="O34" i="3" s="1"/>
  <c r="N32" i="3"/>
  <c r="O32" i="3" s="1"/>
  <c r="M25" i="3"/>
  <c r="L25" i="3"/>
  <c r="N31" i="3"/>
  <c r="O31" i="3" s="1"/>
  <c r="M23" i="3"/>
  <c r="L23" i="3"/>
  <c r="M21" i="3"/>
  <c r="L21" i="3"/>
  <c r="M19" i="3"/>
  <c r="L19" i="3"/>
  <c r="N21" i="3"/>
  <c r="O21" i="3" s="1"/>
  <c r="L28" i="3"/>
  <c r="M28" i="3"/>
  <c r="M15" i="3"/>
  <c r="L15" i="3"/>
  <c r="L20" i="3"/>
  <c r="M20" i="3"/>
  <c r="M22" i="3"/>
  <c r="L22" i="3"/>
  <c r="M13" i="3"/>
  <c r="L13" i="3"/>
  <c r="L30" i="3"/>
  <c r="M30" i="3"/>
  <c r="L16" i="3"/>
  <c r="M16" i="3"/>
  <c r="M17" i="3"/>
  <c r="L17" i="3"/>
  <c r="M11" i="3"/>
  <c r="L11" i="3"/>
  <c r="N30" i="3"/>
  <c r="O30" i="3" s="1"/>
  <c r="M26" i="3"/>
  <c r="L26" i="3"/>
  <c r="N16" i="3"/>
  <c r="O16" i="3" s="1"/>
  <c r="M33" i="3"/>
  <c r="L33" i="3"/>
  <c r="N19" i="3"/>
  <c r="O19" i="3" s="1"/>
  <c r="N15" i="3"/>
  <c r="O15" i="3" s="1"/>
  <c r="M18" i="3"/>
  <c r="L18" i="3"/>
  <c r="M37" i="3"/>
  <c r="L37" i="3"/>
  <c r="N25" i="3"/>
  <c r="O25" i="3" s="1"/>
  <c r="N17" i="3"/>
  <c r="O17" i="3" s="1"/>
  <c r="L12" i="3"/>
  <c r="M12" i="3"/>
  <c r="L36" i="3"/>
  <c r="M36" i="3"/>
  <c r="M35" i="3"/>
  <c r="L35" i="3"/>
  <c r="N35" i="3"/>
  <c r="O35" i="3" s="1"/>
  <c r="N27" i="3"/>
  <c r="O27" i="3" s="1"/>
  <c r="N12" i="3"/>
  <c r="O12" i="3" s="1"/>
  <c r="K61" i="1"/>
  <c r="K93" i="1"/>
  <c r="K77" i="1"/>
  <c r="K91" i="1"/>
  <c r="K95" i="1"/>
  <c r="K98" i="1"/>
  <c r="M98" i="1" s="1"/>
  <c r="K99" i="1"/>
  <c r="K101" i="1"/>
  <c r="K85" i="1"/>
  <c r="K83" i="1"/>
  <c r="M83" i="1" s="1"/>
  <c r="K80" i="1"/>
  <c r="M80" i="1" s="1"/>
  <c r="K92" i="1"/>
  <c r="M92" i="1" s="1"/>
  <c r="K58" i="1"/>
  <c r="L58" i="1" s="1"/>
  <c r="K56" i="1"/>
  <c r="M56" i="1" s="1"/>
  <c r="K70" i="1"/>
  <c r="M70" i="1" s="1"/>
  <c r="K82" i="1"/>
  <c r="M82" i="1" s="1"/>
  <c r="K48" i="1"/>
  <c r="L48" i="1" s="1"/>
  <c r="K60" i="1"/>
  <c r="L60" i="1" s="1"/>
  <c r="K94" i="1"/>
  <c r="M94" i="1" s="1"/>
  <c r="K50" i="1"/>
  <c r="L50" i="1" s="1"/>
  <c r="K62" i="1"/>
  <c r="M62" i="1" s="1"/>
  <c r="K86" i="1"/>
  <c r="M86" i="1" s="1"/>
  <c r="K76" i="1"/>
  <c r="M76" i="1" s="1"/>
  <c r="K88" i="1"/>
  <c r="M88" i="1" s="1"/>
  <c r="K100" i="1"/>
  <c r="M100" i="1" s="1"/>
  <c r="K68" i="1"/>
  <c r="M68" i="1" s="1"/>
  <c r="K54" i="1"/>
  <c r="M54" i="1" s="1"/>
  <c r="K78" i="1"/>
  <c r="M78" i="1" s="1"/>
  <c r="K90" i="1"/>
  <c r="M90" i="1" s="1"/>
  <c r="N98" i="1"/>
  <c r="O98" i="1" s="1"/>
  <c r="K66" i="1"/>
  <c r="M66" i="1" s="1"/>
  <c r="K64" i="1"/>
  <c r="M64" i="1" s="1"/>
  <c r="K96" i="1"/>
  <c r="M96" i="1" s="1"/>
  <c r="K72" i="1"/>
  <c r="M72" i="1" s="1"/>
  <c r="K74" i="1"/>
  <c r="M74" i="1" s="1"/>
  <c r="N52" i="1"/>
  <c r="O52" i="1" s="1"/>
  <c r="N84" i="1"/>
  <c r="O84" i="1" s="1"/>
  <c r="K16" i="1"/>
  <c r="N16" i="1" s="1"/>
  <c r="O16" i="1" s="1"/>
  <c r="K35" i="1"/>
  <c r="N35" i="1" s="1"/>
  <c r="O35" i="1" s="1"/>
  <c r="L75" i="1"/>
  <c r="N75" i="1"/>
  <c r="O75" i="1" s="1"/>
  <c r="M75" i="1"/>
  <c r="K18" i="1"/>
  <c r="N18" i="1" s="1"/>
  <c r="O18" i="1" s="1"/>
  <c r="K36" i="1"/>
  <c r="N36" i="1" s="1"/>
  <c r="O36" i="1" s="1"/>
  <c r="N57" i="1"/>
  <c r="O57" i="1" s="1"/>
  <c r="M57" i="1"/>
  <c r="L57" i="1"/>
  <c r="N89" i="1"/>
  <c r="O89" i="1" s="1"/>
  <c r="L89" i="1"/>
  <c r="M89" i="1"/>
  <c r="K13" i="1"/>
  <c r="K15" i="1"/>
  <c r="K20" i="1"/>
  <c r="N20" i="1" s="1"/>
  <c r="O20" i="1" s="1"/>
  <c r="K38" i="1"/>
  <c r="N38" i="1" s="1"/>
  <c r="O38" i="1" s="1"/>
  <c r="M53" i="1"/>
  <c r="N53" i="1"/>
  <c r="O53" i="1" s="1"/>
  <c r="L53" i="1"/>
  <c r="N85" i="1"/>
  <c r="O85" i="1" s="1"/>
  <c r="M85" i="1"/>
  <c r="L85" i="1"/>
  <c r="K21" i="1"/>
  <c r="N21" i="1" s="1"/>
  <c r="O21" i="1" s="1"/>
  <c r="K39" i="1"/>
  <c r="N67" i="1"/>
  <c r="O67" i="1" s="1"/>
  <c r="M67" i="1"/>
  <c r="L67" i="1"/>
  <c r="N99" i="1"/>
  <c r="O99" i="1" s="1"/>
  <c r="L99" i="1"/>
  <c r="M99" i="1"/>
  <c r="K31" i="1"/>
  <c r="N31" i="1" s="1"/>
  <c r="O31" i="1" s="1"/>
  <c r="N81" i="1"/>
  <c r="O81" i="1" s="1"/>
  <c r="M81" i="1"/>
  <c r="L81" i="1"/>
  <c r="L61" i="1"/>
  <c r="N61" i="1"/>
  <c r="O61" i="1" s="1"/>
  <c r="M61" i="1"/>
  <c r="K37" i="1"/>
  <c r="N71" i="1"/>
  <c r="O71" i="1" s="1"/>
  <c r="L71" i="1"/>
  <c r="M71" i="1"/>
  <c r="K22" i="1"/>
  <c r="J5" i="1"/>
  <c r="K5" i="1" s="1"/>
  <c r="K23" i="1"/>
  <c r="K41" i="1"/>
  <c r="N41" i="1" s="1"/>
  <c r="O41" i="1" s="1"/>
  <c r="N63" i="1"/>
  <c r="O63" i="1" s="1"/>
  <c r="M63" i="1"/>
  <c r="L63" i="1"/>
  <c r="N95" i="1"/>
  <c r="O95" i="1" s="1"/>
  <c r="M95" i="1"/>
  <c r="L95" i="1"/>
  <c r="K102" i="1"/>
  <c r="J8" i="1"/>
  <c r="K8" i="1" s="1"/>
  <c r="N51" i="1"/>
  <c r="O51" i="1" s="1"/>
  <c r="M51" i="1"/>
  <c r="L51" i="1"/>
  <c r="K34" i="1"/>
  <c r="N34" i="1" s="1"/>
  <c r="O34" i="1" s="1"/>
  <c r="N93" i="1"/>
  <c r="O93" i="1" s="1"/>
  <c r="M93" i="1"/>
  <c r="L93" i="1"/>
  <c r="K19" i="1"/>
  <c r="N19" i="1" s="1"/>
  <c r="O19" i="1" s="1"/>
  <c r="J4" i="1"/>
  <c r="K4" i="1" s="1"/>
  <c r="N4" i="1" s="1"/>
  <c r="O4" i="1" s="1"/>
  <c r="K40" i="1"/>
  <c r="N49" i="1"/>
  <c r="O49" i="1" s="1"/>
  <c r="M49" i="1"/>
  <c r="L49" i="1"/>
  <c r="J6" i="1"/>
  <c r="K6" i="1" s="1"/>
  <c r="N6" i="1" s="1"/>
  <c r="O6" i="1" s="1"/>
  <c r="K24" i="1"/>
  <c r="N24" i="1" s="1"/>
  <c r="O24" i="1" s="1"/>
  <c r="K42" i="1"/>
  <c r="N77" i="1"/>
  <c r="O77" i="1" s="1"/>
  <c r="L77" i="1"/>
  <c r="M77" i="1"/>
  <c r="J7" i="1"/>
  <c r="K7" i="1" s="1"/>
  <c r="N7" i="1" s="1"/>
  <c r="O7" i="1" s="1"/>
  <c r="K25" i="1"/>
  <c r="K43" i="1"/>
  <c r="N59" i="1"/>
  <c r="O59" i="1" s="1"/>
  <c r="L59" i="1"/>
  <c r="M59" i="1"/>
  <c r="N91" i="1"/>
  <c r="O91" i="1" s="1"/>
  <c r="M91" i="1"/>
  <c r="L91" i="1"/>
  <c r="K9" i="1"/>
  <c r="K28" i="1"/>
  <c r="N28" i="1" s="1"/>
  <c r="O28" i="1" s="1"/>
  <c r="K45" i="1"/>
  <c r="N45" i="1" s="1"/>
  <c r="O45" i="1" s="1"/>
  <c r="N55" i="1"/>
  <c r="O55" i="1" s="1"/>
  <c r="M55" i="1"/>
  <c r="L55" i="1"/>
  <c r="L87" i="1"/>
  <c r="N87" i="1"/>
  <c r="O87" i="1" s="1"/>
  <c r="M87" i="1"/>
  <c r="K44" i="1"/>
  <c r="K10" i="1"/>
  <c r="N10" i="1" s="1"/>
  <c r="O10" i="1" s="1"/>
  <c r="K30" i="1"/>
  <c r="K46" i="1"/>
  <c r="N46" i="1" s="1"/>
  <c r="O46" i="1" s="1"/>
  <c r="N69" i="1"/>
  <c r="O69" i="1" s="1"/>
  <c r="M69" i="1"/>
  <c r="L69" i="1"/>
  <c r="L101" i="1"/>
  <c r="N101" i="1"/>
  <c r="O101" i="1" s="1"/>
  <c r="M101" i="1"/>
  <c r="K32" i="1"/>
  <c r="N32" i="1" s="1"/>
  <c r="O32" i="1" s="1"/>
  <c r="N65" i="1"/>
  <c r="O65" i="1" s="1"/>
  <c r="L65" i="1"/>
  <c r="M65" i="1"/>
  <c r="N97" i="1"/>
  <c r="O97" i="1" s="1"/>
  <c r="M97" i="1"/>
  <c r="L97" i="1"/>
  <c r="K26" i="1"/>
  <c r="N26" i="1" s="1"/>
  <c r="O26" i="1" s="1"/>
  <c r="N73" i="1"/>
  <c r="O73" i="1" s="1"/>
  <c r="M73" i="1"/>
  <c r="L73" i="1"/>
  <c r="K12" i="1"/>
  <c r="N12" i="1" s="1"/>
  <c r="O12" i="1" s="1"/>
  <c r="K14" i="1"/>
  <c r="N14" i="1" s="1"/>
  <c r="O14" i="1" s="1"/>
  <c r="K33" i="1"/>
  <c r="N33" i="1" s="1"/>
  <c r="O33" i="1" s="1"/>
  <c r="M47" i="1"/>
  <c r="L47" i="1"/>
  <c r="N47" i="1"/>
  <c r="O47" i="1" s="1"/>
  <c r="N79" i="1"/>
  <c r="O79" i="1" s="1"/>
  <c r="M79" i="1"/>
  <c r="L79" i="1"/>
  <c r="L84" i="1"/>
  <c r="L98" i="1"/>
  <c r="M52" i="1"/>
  <c r="K103" i="1"/>
  <c r="N103" i="1" s="1"/>
  <c r="O103" i="1" s="1"/>
  <c r="L83" i="1" l="1"/>
  <c r="N83" i="1"/>
  <c r="O83" i="1" s="1"/>
  <c r="L64" i="1"/>
  <c r="L56" i="1"/>
  <c r="L74" i="1"/>
  <c r="L66" i="1"/>
  <c r="L78" i="1"/>
  <c r="L92" i="1"/>
  <c r="L90" i="1"/>
  <c r="M58" i="1"/>
  <c r="N74" i="1"/>
  <c r="O74" i="1" s="1"/>
  <c r="L62" i="1"/>
  <c r="M50" i="1"/>
  <c r="L94" i="1"/>
  <c r="L80" i="1"/>
  <c r="L54" i="1"/>
  <c r="L96" i="1"/>
  <c r="L86" i="1"/>
  <c r="N76" i="1"/>
  <c r="O76" i="1" s="1"/>
  <c r="N70" i="1"/>
  <c r="O70" i="1" s="1"/>
  <c r="N64" i="1"/>
  <c r="O64" i="1" s="1"/>
  <c r="L82" i="1"/>
  <c r="N68" i="1"/>
  <c r="O68" i="1" s="1"/>
  <c r="N48" i="1"/>
  <c r="O48" i="1" s="1"/>
  <c r="N96" i="1"/>
  <c r="O96" i="1" s="1"/>
  <c r="N88" i="1"/>
  <c r="O88" i="1" s="1"/>
  <c r="N72" i="1"/>
  <c r="O72" i="1" s="1"/>
  <c r="N90" i="1"/>
  <c r="O90" i="1" s="1"/>
  <c r="N62" i="1"/>
  <c r="O62" i="1" s="1"/>
  <c r="N58" i="1"/>
  <c r="O58" i="1" s="1"/>
  <c r="L88" i="1"/>
  <c r="M60" i="1"/>
  <c r="N86" i="1"/>
  <c r="O86" i="1" s="1"/>
  <c r="N66" i="1"/>
  <c r="O66" i="1" s="1"/>
  <c r="L76" i="1"/>
  <c r="M48" i="1"/>
  <c r="L72" i="1"/>
  <c r="N78" i="1"/>
  <c r="O78" i="1" s="1"/>
  <c r="N50" i="1"/>
  <c r="O50" i="1" s="1"/>
  <c r="N92" i="1"/>
  <c r="O92" i="1" s="1"/>
  <c r="N60" i="1"/>
  <c r="O60" i="1" s="1"/>
  <c r="N100" i="1"/>
  <c r="O100" i="1" s="1"/>
  <c r="N82" i="1"/>
  <c r="O82" i="1" s="1"/>
  <c r="N56" i="1"/>
  <c r="O56" i="1" s="1"/>
  <c r="L70" i="1"/>
  <c r="L100" i="1"/>
  <c r="L68" i="1"/>
  <c r="N54" i="1"/>
  <c r="O54" i="1" s="1"/>
  <c r="N94" i="1"/>
  <c r="O94" i="1" s="1"/>
  <c r="N80" i="1"/>
  <c r="O80" i="1" s="1"/>
  <c r="M44" i="1"/>
  <c r="L44" i="1"/>
  <c r="M23" i="1"/>
  <c r="L23" i="1"/>
  <c r="M33" i="1"/>
  <c r="L33" i="1"/>
  <c r="N44" i="1"/>
  <c r="O44" i="1" s="1"/>
  <c r="L6" i="1"/>
  <c r="M6" i="1"/>
  <c r="N23" i="1"/>
  <c r="O23" i="1" s="1"/>
  <c r="M31" i="1"/>
  <c r="L31" i="1"/>
  <c r="M36" i="1"/>
  <c r="L36" i="1"/>
  <c r="M43" i="1"/>
  <c r="L43" i="1"/>
  <c r="M8" i="1"/>
  <c r="L8" i="1"/>
  <c r="L22" i="1"/>
  <c r="M22" i="1"/>
  <c r="M5" i="1"/>
  <c r="L5" i="1"/>
  <c r="M14" i="1"/>
  <c r="L14" i="1"/>
  <c r="N5" i="1"/>
  <c r="O5" i="1" s="1"/>
  <c r="M18" i="1"/>
  <c r="L18" i="1"/>
  <c r="M12" i="1"/>
  <c r="L12" i="1"/>
  <c r="N43" i="1"/>
  <c r="O43" i="1" s="1"/>
  <c r="N8" i="1"/>
  <c r="O8" i="1" s="1"/>
  <c r="N22" i="1"/>
  <c r="O22" i="1" s="1"/>
  <c r="L20" i="1"/>
  <c r="M20" i="1"/>
  <c r="L34" i="1"/>
  <c r="M34" i="1"/>
  <c r="M25" i="1"/>
  <c r="L25" i="1"/>
  <c r="L40" i="1"/>
  <c r="M40" i="1"/>
  <c r="M102" i="1"/>
  <c r="L102" i="1"/>
  <c r="L24" i="1"/>
  <c r="M24" i="1"/>
  <c r="N25" i="1"/>
  <c r="O25" i="1" s="1"/>
  <c r="N40" i="1"/>
  <c r="O40" i="1" s="1"/>
  <c r="N102" i="1"/>
  <c r="O102" i="1" s="1"/>
  <c r="L15" i="1"/>
  <c r="M15" i="1"/>
  <c r="L32" i="1"/>
  <c r="M32" i="1"/>
  <c r="L38" i="1"/>
  <c r="M38" i="1"/>
  <c r="M45" i="1"/>
  <c r="L45" i="1"/>
  <c r="M7" i="1"/>
  <c r="L7" i="1"/>
  <c r="L4" i="1"/>
  <c r="M4" i="1"/>
  <c r="N15" i="1"/>
  <c r="O15" i="1" s="1"/>
  <c r="M35" i="1"/>
  <c r="L35" i="1"/>
  <c r="M37" i="1"/>
  <c r="L37" i="1"/>
  <c r="M39" i="1"/>
  <c r="L39" i="1"/>
  <c r="L13" i="1"/>
  <c r="M13" i="1"/>
  <c r="M26" i="1"/>
  <c r="L26" i="1"/>
  <c r="L46" i="1"/>
  <c r="M46" i="1"/>
  <c r="M28" i="1"/>
  <c r="L28" i="1"/>
  <c r="L19" i="1"/>
  <c r="M19" i="1"/>
  <c r="N37" i="1"/>
  <c r="O37" i="1" s="1"/>
  <c r="N39" i="1"/>
  <c r="O39" i="1" s="1"/>
  <c r="N13" i="1"/>
  <c r="O13" i="1" s="1"/>
  <c r="M16" i="1"/>
  <c r="L16" i="1"/>
  <c r="L30" i="1"/>
  <c r="M30" i="1"/>
  <c r="M21" i="1"/>
  <c r="L21" i="1"/>
  <c r="M9" i="1"/>
  <c r="L9" i="1"/>
  <c r="N30" i="1"/>
  <c r="O30" i="1" s="1"/>
  <c r="N9" i="1"/>
  <c r="O9" i="1" s="1"/>
  <c r="M42" i="1"/>
  <c r="L42" i="1"/>
  <c r="M103" i="1"/>
  <c r="L103" i="1"/>
  <c r="M10" i="1"/>
  <c r="L10" i="1"/>
  <c r="N42" i="1"/>
  <c r="O42" i="1" s="1"/>
  <c r="M41" i="1"/>
  <c r="L41" i="1"/>
</calcChain>
</file>

<file path=xl/sharedStrings.xml><?xml version="1.0" encoding="utf-8"?>
<sst xmlns="http://schemas.openxmlformats.org/spreadsheetml/2006/main" count="299" uniqueCount="118">
  <si>
    <t>Substance Table Date</t>
  </si>
  <si>
    <t>Substance Table</t>
  </si>
  <si>
    <t>Suspect Peaks List</t>
  </si>
  <si>
    <t>Peak Adjustment</t>
  </si>
  <si>
    <t>Date</t>
  </si>
  <si>
    <t>File to Re-Process</t>
  </si>
  <si>
    <t>Substance Table Source</t>
  </si>
  <si>
    <t>Name</t>
  </si>
  <si>
    <r>
      <t>Rt</t>
    </r>
    <r>
      <rPr>
        <vertAlign val="subscript"/>
        <sz val="11"/>
        <color theme="1"/>
        <rFont val="Calibri"/>
        <family val="2"/>
        <scheme val="minor"/>
      </rPr>
      <t>MIN</t>
    </r>
  </si>
  <si>
    <r>
      <t>Rt</t>
    </r>
    <r>
      <rPr>
        <vertAlign val="subscript"/>
        <sz val="11"/>
        <color theme="1"/>
        <rFont val="Calibri"/>
        <family val="2"/>
        <scheme val="minor"/>
      </rPr>
      <t>MAX</t>
    </r>
  </si>
  <si>
    <r>
      <rPr>
        <sz val="11"/>
        <color theme="1"/>
        <rFont val="Symbol"/>
        <family val="1"/>
        <charset val="2"/>
      </rPr>
      <t>D</t>
    </r>
    <r>
      <rPr>
        <vertAlign val="subscript"/>
        <sz val="11"/>
        <color theme="1"/>
        <rFont val="Calibri"/>
        <family val="2"/>
        <scheme val="minor"/>
      </rPr>
      <t>Rt</t>
    </r>
  </si>
  <si>
    <r>
      <t>Rt</t>
    </r>
    <r>
      <rPr>
        <vertAlign val="subscript"/>
        <sz val="11"/>
        <color theme="1"/>
        <rFont val="Calibri"/>
        <family val="2"/>
        <scheme val="minor"/>
      </rPr>
      <t>MID</t>
    </r>
  </si>
  <si>
    <t>R.Time</t>
  </si>
  <si>
    <r>
      <t>Rt</t>
    </r>
    <r>
      <rPr>
        <vertAlign val="subscript"/>
        <sz val="11"/>
        <color theme="1"/>
        <rFont val="Calibri"/>
        <family val="2"/>
        <scheme val="minor"/>
      </rPr>
      <t>MID</t>
    </r>
    <r>
      <rPr>
        <sz val="11"/>
        <color theme="1"/>
        <rFont val="Calibri"/>
        <family val="2"/>
        <scheme val="minor"/>
      </rPr>
      <t xml:space="preserve"> - R.Time</t>
    </r>
  </si>
  <si>
    <t>Adjustment (s)</t>
  </si>
  <si>
    <t>New Rt MIN</t>
  </si>
  <si>
    <t>New Rt MAX</t>
  </si>
  <si>
    <t>New Rt MID</t>
  </si>
  <si>
    <t>New RtMID - R.Time</t>
  </si>
  <si>
    <t>CAL-MS.stbl</t>
  </si>
  <si>
    <t>N-BUTANE</t>
  </si>
  <si>
    <t>N-HEXANE</t>
  </si>
  <si>
    <t>BENZENE</t>
  </si>
  <si>
    <t>N-DECANE</t>
  </si>
  <si>
    <t xml:space="preserve">VOC-MS.stbl </t>
  </si>
  <si>
    <t>ACETALDEHYDE</t>
  </si>
  <si>
    <t>CHLOROETHANE</t>
  </si>
  <si>
    <t>CHLOROMETHANE</t>
  </si>
  <si>
    <t>BROMOMETHANE</t>
  </si>
  <si>
    <t>ACROLEIN</t>
  </si>
  <si>
    <t>ACETONE</t>
  </si>
  <si>
    <t>PROPANAL</t>
  </si>
  <si>
    <t>IPA</t>
  </si>
  <si>
    <t>DICHLOROMETHANE</t>
  </si>
  <si>
    <t>2,2-DIME-BUTANE</t>
  </si>
  <si>
    <t>2-METHYLPROPENAL</t>
  </si>
  <si>
    <t>1,1-DICHLOROETHANE</t>
  </si>
  <si>
    <t>MTBE</t>
  </si>
  <si>
    <t>VINYLACETATE</t>
  </si>
  <si>
    <t>2-ME-PENTANE</t>
  </si>
  <si>
    <t>BUTYRALDEHYDE</t>
  </si>
  <si>
    <t>MEK</t>
  </si>
  <si>
    <t>C-1,2-DICL-ETHENE</t>
  </si>
  <si>
    <t>ETHYLACETATE</t>
  </si>
  <si>
    <t>CHLORORFORME</t>
  </si>
  <si>
    <t>THF</t>
  </si>
  <si>
    <t>CROTONALDEHYDE</t>
  </si>
  <si>
    <t>ME-CYCLOPENTANE</t>
  </si>
  <si>
    <t>1,2-DICHLOROETHANE</t>
  </si>
  <si>
    <t>111-TriCL-ETHANE</t>
  </si>
  <si>
    <t>CCI4</t>
  </si>
  <si>
    <t>CYCLOHEXANE</t>
  </si>
  <si>
    <t>2-ME-HEXANE</t>
  </si>
  <si>
    <t>3-ME-HEXANE</t>
  </si>
  <si>
    <t>1-2-DICL-PROPANE</t>
  </si>
  <si>
    <t>PENTANAL</t>
  </si>
  <si>
    <t>BROMO-DICL-METHAN</t>
  </si>
  <si>
    <t>TRICHLOROETHENE</t>
  </si>
  <si>
    <t>224-TME-PENTANE</t>
  </si>
  <si>
    <t>1-4-DIOXANE</t>
  </si>
  <si>
    <t>ME-METHACRYLATE</t>
  </si>
  <si>
    <t>N-HEPTANE</t>
  </si>
  <si>
    <t>T-1-3-DICL-PROPEN</t>
  </si>
  <si>
    <t>ME-CYCLOHEXANE</t>
  </si>
  <si>
    <t>MIBK</t>
  </si>
  <si>
    <t>C-1-3-DICL-PROPEN</t>
  </si>
  <si>
    <t>112-TriCL-ETHANE</t>
  </si>
  <si>
    <t>234-TME-PENTANE</t>
  </si>
  <si>
    <t>TOLUENE</t>
  </si>
  <si>
    <t>2-ME-HEPTANE</t>
  </si>
  <si>
    <t>MBK</t>
  </si>
  <si>
    <t>DIBR-CL-METHANE</t>
  </si>
  <si>
    <t>3-ME-HEPTANE</t>
  </si>
  <si>
    <t>HEXANAL</t>
  </si>
  <si>
    <t>1-2DIBROMOETHANE</t>
  </si>
  <si>
    <t>N-OCTANE</t>
  </si>
  <si>
    <t>TETRACHLORORETHENE</t>
  </si>
  <si>
    <t>FURFURAL</t>
  </si>
  <si>
    <t>CHLOROBENZENE</t>
  </si>
  <si>
    <t>ETHYLBENZENE</t>
  </si>
  <si>
    <t>M&amp;P-XYLENES</t>
  </si>
  <si>
    <t>BROMOFORM</t>
  </si>
  <si>
    <t>STYRENE</t>
  </si>
  <si>
    <t>O-XYLENE</t>
  </si>
  <si>
    <t>1122TetraCL-ETHAN</t>
  </si>
  <si>
    <t>N-NONANE</t>
  </si>
  <si>
    <t>I-PROPYLBENZENE</t>
  </si>
  <si>
    <t>BENZALDEHYDE</t>
  </si>
  <si>
    <t>a-PINENE</t>
  </si>
  <si>
    <t>2-CHLORO-TOLUENE</t>
  </si>
  <si>
    <t>N-PROPYLBENZENE</t>
  </si>
  <si>
    <t>M-ETHYLTOLUENE</t>
  </si>
  <si>
    <t>P-ETHYLTOLUENE</t>
  </si>
  <si>
    <t>135-TMB</t>
  </si>
  <si>
    <t>O-ETHYLTOLUENE</t>
  </si>
  <si>
    <t>b-PINENE</t>
  </si>
  <si>
    <t>124-TMB</t>
  </si>
  <si>
    <t>BENZYLCHLORIDE</t>
  </si>
  <si>
    <t>1-3-DICL-BENZENE</t>
  </si>
  <si>
    <t>1-4-DICL-BENZENE</t>
  </si>
  <si>
    <t>3-CARENE</t>
  </si>
  <si>
    <t>123-TMB</t>
  </si>
  <si>
    <t>1-2-DICL-BENZENE</t>
  </si>
  <si>
    <t>LIMONENE</t>
  </si>
  <si>
    <t>M-DIETHYLBENZENE</t>
  </si>
  <si>
    <t>P-DIETHYLBENZENE</t>
  </si>
  <si>
    <t>M-TOLUALDEHYDE</t>
  </si>
  <si>
    <t>N-UNDECANE</t>
  </si>
  <si>
    <t>124-TriCL-BENZENE</t>
  </si>
  <si>
    <t>NAPHTHALENE</t>
  </si>
  <si>
    <t>N-DODECANE</t>
  </si>
  <si>
    <t>HexCL-1-3BUTADIEN</t>
  </si>
  <si>
    <t>N-TRIDECANE</t>
  </si>
  <si>
    <t>2-ME-NAPHTHALENE</t>
  </si>
  <si>
    <t>1-ME-NAPHTHALENE</t>
  </si>
  <si>
    <t>N-PENTANE</t>
  </si>
  <si>
    <t>T-1,2-DICL-ETHENE</t>
  </si>
  <si>
    <t>1-2DICHLOROETHANE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</si>
</sst>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rgb="FF131313"/>
      <name val="Calibri"/>
      <family val="2"/>
      <scheme val="minor"/>
    </font>
    <font>
      <sz val="11"/>
      <color rgb="FF282828"/>
      <name val="Calibri"/>
      <family val="2"/>
      <scheme val="minor"/>
    </font>
    <font>
      <sz val="11"/>
      <name val="Calibri"/>
      <family val="2"/>
      <scheme val="minor"/>
    </font>
    <font>
      <sz val="11"/>
      <color rgb="FF424242"/>
      <name val="Calibri"/>
      <family val="2"/>
      <scheme val="minor"/>
    </font>
    <font>
      <sz val="11"/>
      <color rgb="FF010101"/>
      <name val="Calibri"/>
      <family val="2"/>
      <scheme val="minor"/>
    </font>
    <font>
      <sz val="11"/>
      <color rgb="FF41414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0" xfId="0" applyAlignment="1">
      <alignment horizontal="left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8" xfId="0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0" fontId="0" fillId="2" borderId="1" xfId="0" applyFill="1" applyBorder="1" applyAlignment="1">
      <alignment horizontal="left"/>
    </xf>
    <xf numFmtId="1" fontId="3" fillId="2" borderId="0" xfId="0" applyNumberFormat="1" applyFont="1" applyFill="1" applyAlignment="1">
      <alignment horizontal="center" vertical="top" shrinkToFit="1"/>
    </xf>
    <xf numFmtId="1" fontId="4" fillId="2" borderId="0" xfId="0" applyNumberFormat="1" applyFont="1" applyFill="1" applyAlignment="1">
      <alignment horizontal="center" vertical="top" shrinkToFit="1"/>
    </xf>
    <xf numFmtId="0" fontId="0" fillId="2" borderId="0" xfId="0" applyFill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5" fillId="2" borderId="0" xfId="0" applyFont="1" applyFill="1" applyAlignment="1">
      <alignment horizontal="center" vertical="top" wrapText="1"/>
    </xf>
    <xf numFmtId="1" fontId="6" fillId="2" borderId="0" xfId="0" applyNumberFormat="1" applyFont="1" applyFill="1" applyAlignment="1">
      <alignment horizontal="center" vertical="top" shrinkToFit="1"/>
    </xf>
    <xf numFmtId="1" fontId="7" fillId="2" borderId="0" xfId="0" applyNumberFormat="1" applyFont="1" applyFill="1" applyAlignment="1">
      <alignment horizontal="center" vertical="top" shrinkToFi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" fontId="3" fillId="0" borderId="0" xfId="0" applyNumberFormat="1" applyFont="1" applyAlignment="1">
      <alignment horizontal="center" vertical="top" shrinkToFit="1"/>
    </xf>
    <xf numFmtId="1" fontId="4" fillId="0" borderId="0" xfId="0" applyNumberFormat="1" applyFont="1" applyAlignment="1">
      <alignment horizontal="center" vertical="top" shrinkToFit="1"/>
    </xf>
    <xf numFmtId="0" fontId="5" fillId="0" borderId="0" xfId="0" applyFont="1" applyAlignment="1">
      <alignment horizontal="center" vertical="top" wrapText="1"/>
    </xf>
    <xf numFmtId="1" fontId="6" fillId="0" borderId="0" xfId="0" applyNumberFormat="1" applyFont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1" fontId="7" fillId="0" borderId="0" xfId="0" applyNumberFormat="1" applyFont="1" applyAlignment="1">
      <alignment horizontal="center" vertical="top" shrinkToFit="1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3" borderId="1" xfId="0" applyFill="1" applyBorder="1"/>
    <xf numFmtId="0" fontId="0" fillId="3" borderId="0" xfId="0" applyFill="1"/>
    <xf numFmtId="0" fontId="0" fillId="3" borderId="1" xfId="0" applyFill="1" applyBorder="1" applyAlignment="1">
      <alignment horizontal="left"/>
    </xf>
    <xf numFmtId="0" fontId="4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1" fontId="4" fillId="3" borderId="0" xfId="0" applyNumberFormat="1" applyFont="1" applyFill="1" applyAlignment="1">
      <alignment horizontal="center" vertical="top" shrinkToFit="1"/>
    </xf>
    <xf numFmtId="0" fontId="0" fillId="3" borderId="6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14" fontId="0" fillId="2" borderId="1" xfId="0" applyNumberFormat="1" applyFill="1" applyBorder="1"/>
    <xf numFmtId="0" fontId="0" fillId="4" borderId="10" xfId="0" applyFill="1" applyBorder="1" applyAlignment="1">
      <alignment horizontal="center" wrapText="1"/>
    </xf>
    <xf numFmtId="0" fontId="0" fillId="4" borderId="1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A1CEE-9D0B-4448-A88D-36D85EC0489F}">
  <dimension ref="A1:AX37"/>
  <sheetViews>
    <sheetView tabSelected="1" zoomScale="61" zoomScaleNormal="118" workbookViewId="0">
      <selection activeCell="P5" sqref="P5"/>
    </sheetView>
  </sheetViews>
  <sheetFormatPr defaultRowHeight="14.4" x14ac:dyDescent="0.3"/>
  <cols>
    <col min="1" max="1" width="12" style="1" customWidth="1"/>
    <col min="2" max="2" width="25.44140625" customWidth="1"/>
    <col min="3" max="3" width="13.5546875" style="1" customWidth="1"/>
    <col min="4" max="4" width="24.109375" style="3" customWidth="1"/>
    <col min="5" max="5" width="8.88671875" style="4"/>
    <col min="6" max="6" width="8.88671875" style="5"/>
    <col min="7" max="7" width="10.109375" customWidth="1"/>
    <col min="8" max="8" width="8.88671875" style="6"/>
    <col min="9" max="9" width="11.5546875" style="24" customWidth="1"/>
    <col min="10" max="10" width="14.6640625" style="1" customWidth="1"/>
    <col min="11" max="11" width="15.5546875" style="1" customWidth="1"/>
    <col min="12" max="12" width="14.109375" style="7" customWidth="1"/>
    <col min="13" max="13" width="12.5546875" customWidth="1"/>
    <col min="14" max="14" width="13.88671875" customWidth="1"/>
    <col min="15" max="15" width="21.33203125" style="6" customWidth="1"/>
  </cols>
  <sheetData>
    <row r="1" spans="1:50" ht="15" thickBot="1" x14ac:dyDescent="0.35">
      <c r="B1" t="s">
        <v>0</v>
      </c>
      <c r="C1" s="72">
        <v>45889</v>
      </c>
      <c r="I1" s="4"/>
      <c r="J1"/>
      <c r="K1" s="6"/>
    </row>
    <row r="2" spans="1:50" x14ac:dyDescent="0.3">
      <c r="A2" s="8"/>
      <c r="B2" s="9"/>
      <c r="C2" s="8"/>
      <c r="D2" s="10"/>
      <c r="E2" s="75" t="s">
        <v>1</v>
      </c>
      <c r="F2" s="76"/>
      <c r="G2" s="77"/>
      <c r="H2" s="78"/>
      <c r="I2" s="75" t="s">
        <v>2</v>
      </c>
      <c r="J2" s="76"/>
      <c r="K2" s="79"/>
      <c r="L2" s="75" t="s">
        <v>3</v>
      </c>
      <c r="M2" s="76"/>
      <c r="N2" s="76"/>
      <c r="O2" s="79"/>
    </row>
    <row r="3" spans="1:50" s="18" customFormat="1" ht="30" thickBot="1" x14ac:dyDescent="0.4">
      <c r="A3" s="14" t="s">
        <v>4</v>
      </c>
      <c r="B3" s="15" t="s">
        <v>5</v>
      </c>
      <c r="C3" s="14" t="s">
        <v>6</v>
      </c>
      <c r="D3" s="14" t="s">
        <v>7</v>
      </c>
      <c r="E3" s="16" t="s">
        <v>8</v>
      </c>
      <c r="F3" s="15" t="s">
        <v>9</v>
      </c>
      <c r="G3" s="15" t="s">
        <v>10</v>
      </c>
      <c r="H3" s="17" t="s">
        <v>11</v>
      </c>
      <c r="I3" s="73" t="s">
        <v>12</v>
      </c>
      <c r="J3" s="15" t="s">
        <v>13</v>
      </c>
      <c r="K3" s="17" t="s">
        <v>14</v>
      </c>
      <c r="L3" s="16" t="s">
        <v>15</v>
      </c>
      <c r="M3" s="15" t="s">
        <v>16</v>
      </c>
      <c r="N3" s="15" t="s">
        <v>17</v>
      </c>
      <c r="O3" s="17" t="s">
        <v>18</v>
      </c>
    </row>
    <row r="4" spans="1:50" s="59" customFormat="1" x14ac:dyDescent="0.3">
      <c r="A4" s="58"/>
      <c r="C4" s="58"/>
      <c r="D4" s="60" t="s">
        <v>20</v>
      </c>
      <c r="E4" s="69">
        <v>30</v>
      </c>
      <c r="F4" s="70">
        <v>50</v>
      </c>
      <c r="G4" s="70">
        <f t="shared" ref="G4:G37" si="0">F4-E4</f>
        <v>20</v>
      </c>
      <c r="H4" s="71">
        <f t="shared" ref="H4:H37" si="1">E4+G4/2</f>
        <v>40</v>
      </c>
      <c r="I4" s="74"/>
      <c r="J4" s="66">
        <f t="shared" ref="J4:J37" si="2">H4-I4</f>
        <v>40</v>
      </c>
      <c r="K4" s="65">
        <f t="shared" ref="K4:K37" si="3">-1*(ROUND(J4,0))</f>
        <v>-40</v>
      </c>
      <c r="L4" s="67">
        <f t="shared" ref="L4:L37" si="4">E4+K4</f>
        <v>-10</v>
      </c>
      <c r="M4" s="63">
        <f t="shared" ref="M4:M37" si="5">F4+K4</f>
        <v>10</v>
      </c>
      <c r="N4" s="63">
        <f t="shared" ref="N4:N10" si="6">H4+K4</f>
        <v>0</v>
      </c>
      <c r="O4" s="64">
        <f t="shared" ref="O4:O10" si="7">N4-I4</f>
        <v>0</v>
      </c>
    </row>
    <row r="5" spans="1:50" s="36" customFormat="1" x14ac:dyDescent="0.3">
      <c r="A5" s="35"/>
      <c r="C5" s="35" t="s">
        <v>24</v>
      </c>
      <c r="D5" s="37" t="s">
        <v>29</v>
      </c>
      <c r="E5" s="46">
        <v>86</v>
      </c>
      <c r="F5" s="39">
        <v>96</v>
      </c>
      <c r="G5" s="40">
        <f t="shared" si="0"/>
        <v>10</v>
      </c>
      <c r="H5" s="41">
        <f t="shared" si="1"/>
        <v>91</v>
      </c>
      <c r="I5" s="74"/>
      <c r="J5" s="43">
        <f t="shared" si="2"/>
        <v>91</v>
      </c>
      <c r="K5" s="42">
        <f t="shared" si="3"/>
        <v>-91</v>
      </c>
      <c r="L5" s="44">
        <f t="shared" si="4"/>
        <v>-5</v>
      </c>
      <c r="M5" s="40">
        <f t="shared" si="5"/>
        <v>5</v>
      </c>
      <c r="N5" s="40">
        <f t="shared" si="6"/>
        <v>0</v>
      </c>
      <c r="O5" s="41">
        <f t="shared" si="7"/>
        <v>0</v>
      </c>
    </row>
    <row r="6" spans="1:50" s="36" customFormat="1" x14ac:dyDescent="0.3">
      <c r="A6" s="35"/>
      <c r="C6" s="35" t="s">
        <v>24</v>
      </c>
      <c r="D6" s="37" t="s">
        <v>30</v>
      </c>
      <c r="E6" s="39">
        <v>96</v>
      </c>
      <c r="F6" s="38">
        <v>106</v>
      </c>
      <c r="G6" s="40">
        <f t="shared" si="0"/>
        <v>10</v>
      </c>
      <c r="H6" s="41">
        <f t="shared" si="1"/>
        <v>101</v>
      </c>
      <c r="I6" s="74"/>
      <c r="J6" s="43">
        <f t="shared" si="2"/>
        <v>101</v>
      </c>
      <c r="K6" s="42">
        <f t="shared" si="3"/>
        <v>-101</v>
      </c>
      <c r="L6" s="44">
        <f t="shared" si="4"/>
        <v>-5</v>
      </c>
      <c r="M6" s="40">
        <f t="shared" si="5"/>
        <v>5</v>
      </c>
      <c r="N6" s="40">
        <f t="shared" si="6"/>
        <v>0</v>
      </c>
      <c r="O6" s="41">
        <f t="shared" si="7"/>
        <v>0</v>
      </c>
    </row>
    <row r="7" spans="1:50" s="36" customFormat="1" x14ac:dyDescent="0.3">
      <c r="A7" s="35"/>
      <c r="C7" s="35"/>
      <c r="D7" s="37" t="s">
        <v>115</v>
      </c>
      <c r="E7" s="45">
        <v>130</v>
      </c>
      <c r="F7" s="38">
        <v>140</v>
      </c>
      <c r="G7" s="40">
        <v>10</v>
      </c>
      <c r="H7" s="41">
        <v>135</v>
      </c>
      <c r="I7" s="74"/>
      <c r="J7" s="43">
        <f t="shared" si="2"/>
        <v>135</v>
      </c>
      <c r="K7" s="42">
        <f t="shared" si="3"/>
        <v>-135</v>
      </c>
      <c r="L7" s="44">
        <f t="shared" si="4"/>
        <v>-5</v>
      </c>
      <c r="M7" s="40">
        <f t="shared" si="5"/>
        <v>5</v>
      </c>
      <c r="N7" s="40">
        <f t="shared" si="6"/>
        <v>0</v>
      </c>
      <c r="O7" s="41">
        <f t="shared" si="7"/>
        <v>0</v>
      </c>
    </row>
    <row r="8" spans="1:50" s="36" customFormat="1" x14ac:dyDescent="0.3">
      <c r="A8" s="35"/>
      <c r="C8" s="35" t="s">
        <v>24</v>
      </c>
      <c r="D8" s="37" t="s">
        <v>33</v>
      </c>
      <c r="E8" s="38">
        <v>185</v>
      </c>
      <c r="F8" s="38">
        <v>195</v>
      </c>
      <c r="G8" s="40">
        <f t="shared" si="0"/>
        <v>10</v>
      </c>
      <c r="H8" s="41">
        <f t="shared" si="1"/>
        <v>190</v>
      </c>
      <c r="I8" s="74"/>
      <c r="J8" s="43">
        <f t="shared" si="2"/>
        <v>190</v>
      </c>
      <c r="K8" s="42">
        <f t="shared" si="3"/>
        <v>-190</v>
      </c>
      <c r="L8" s="44">
        <f t="shared" si="4"/>
        <v>-5</v>
      </c>
      <c r="M8" s="40">
        <f t="shared" si="5"/>
        <v>5</v>
      </c>
      <c r="N8" s="40">
        <f t="shared" si="6"/>
        <v>0</v>
      </c>
      <c r="O8" s="41">
        <f t="shared" si="7"/>
        <v>0</v>
      </c>
    </row>
    <row r="9" spans="1:50" s="42" customFormat="1" x14ac:dyDescent="0.3">
      <c r="A9" s="35"/>
      <c r="B9" s="36"/>
      <c r="C9" s="35" t="s">
        <v>24</v>
      </c>
      <c r="D9" s="37" t="s">
        <v>42</v>
      </c>
      <c r="E9" s="45">
        <v>353</v>
      </c>
      <c r="F9" s="45">
        <v>363</v>
      </c>
      <c r="G9" s="40">
        <f t="shared" si="0"/>
        <v>10</v>
      </c>
      <c r="H9" s="41">
        <f t="shared" si="1"/>
        <v>358</v>
      </c>
      <c r="I9" s="74"/>
      <c r="J9" s="43">
        <f t="shared" si="2"/>
        <v>358</v>
      </c>
      <c r="K9" s="42">
        <f t="shared" si="3"/>
        <v>-358</v>
      </c>
      <c r="L9" s="44">
        <f t="shared" si="4"/>
        <v>-5</v>
      </c>
      <c r="M9" s="40">
        <f t="shared" si="5"/>
        <v>5</v>
      </c>
      <c r="N9" s="40">
        <f t="shared" si="6"/>
        <v>0</v>
      </c>
      <c r="O9" s="41">
        <f t="shared" si="7"/>
        <v>0</v>
      </c>
      <c r="P9" s="44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</row>
    <row r="10" spans="1:50" s="65" customFormat="1" x14ac:dyDescent="0.3">
      <c r="A10" s="58"/>
      <c r="B10" s="59"/>
      <c r="C10" s="58"/>
      <c r="D10" s="60" t="s">
        <v>21</v>
      </c>
      <c r="E10" s="67">
        <v>355</v>
      </c>
      <c r="F10" s="63">
        <v>415</v>
      </c>
      <c r="G10" s="63">
        <f t="shared" si="0"/>
        <v>60</v>
      </c>
      <c r="H10" s="64">
        <f t="shared" si="1"/>
        <v>385</v>
      </c>
      <c r="I10" s="74"/>
      <c r="J10" s="66">
        <f t="shared" si="2"/>
        <v>385</v>
      </c>
      <c r="K10" s="65">
        <f t="shared" si="3"/>
        <v>-385</v>
      </c>
      <c r="L10" s="67">
        <f t="shared" si="4"/>
        <v>-30</v>
      </c>
      <c r="M10" s="63">
        <f t="shared" si="5"/>
        <v>30</v>
      </c>
      <c r="N10" s="63">
        <f t="shared" si="6"/>
        <v>0</v>
      </c>
      <c r="O10" s="64">
        <f t="shared" si="7"/>
        <v>0</v>
      </c>
      <c r="P10" s="67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</row>
    <row r="11" spans="1:50" s="42" customFormat="1" x14ac:dyDescent="0.3">
      <c r="A11" s="35"/>
      <c r="B11" s="36"/>
      <c r="C11" s="35" t="s">
        <v>24</v>
      </c>
      <c r="D11" s="37" t="s">
        <v>45</v>
      </c>
      <c r="E11" s="38">
        <v>429</v>
      </c>
      <c r="F11" s="45">
        <v>439</v>
      </c>
      <c r="G11" s="40">
        <f t="shared" si="0"/>
        <v>10</v>
      </c>
      <c r="H11" s="41">
        <f t="shared" si="1"/>
        <v>434</v>
      </c>
      <c r="I11" s="74"/>
      <c r="J11" s="43">
        <f t="shared" si="2"/>
        <v>434</v>
      </c>
      <c r="K11" s="42">
        <f t="shared" si="3"/>
        <v>-434</v>
      </c>
      <c r="L11" s="44">
        <f t="shared" si="4"/>
        <v>-5</v>
      </c>
      <c r="M11" s="40">
        <f t="shared" si="5"/>
        <v>5</v>
      </c>
      <c r="N11" s="40">
        <f t="shared" ref="N5:N37" si="8">H11+K11</f>
        <v>0</v>
      </c>
      <c r="O11" s="41">
        <f t="shared" ref="O5:O37" si="9">N11-I11</f>
        <v>0</v>
      </c>
      <c r="P11" s="44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</row>
    <row r="12" spans="1:50" s="42" customFormat="1" x14ac:dyDescent="0.3">
      <c r="A12" s="35"/>
      <c r="B12" s="36"/>
      <c r="C12" s="35" t="s">
        <v>24</v>
      </c>
      <c r="D12" s="37" t="s">
        <v>117</v>
      </c>
      <c r="E12" s="45">
        <v>473</v>
      </c>
      <c r="F12" s="45">
        <v>483</v>
      </c>
      <c r="G12" s="40">
        <f t="shared" si="0"/>
        <v>10</v>
      </c>
      <c r="H12" s="41">
        <f t="shared" si="1"/>
        <v>478</v>
      </c>
      <c r="I12" s="74"/>
      <c r="J12" s="43">
        <f t="shared" si="2"/>
        <v>478</v>
      </c>
      <c r="K12" s="42">
        <f t="shared" si="3"/>
        <v>-478</v>
      </c>
      <c r="L12" s="44">
        <f t="shared" si="4"/>
        <v>-5</v>
      </c>
      <c r="M12" s="40">
        <f t="shared" si="5"/>
        <v>5</v>
      </c>
      <c r="N12" s="40">
        <f t="shared" si="8"/>
        <v>0</v>
      </c>
      <c r="O12" s="41">
        <f t="shared" si="9"/>
        <v>0</v>
      </c>
      <c r="P12" s="44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</row>
    <row r="13" spans="1:50" s="42" customFormat="1" x14ac:dyDescent="0.3">
      <c r="A13" s="35"/>
      <c r="B13" s="36"/>
      <c r="C13" s="35" t="s">
        <v>24</v>
      </c>
      <c r="D13" s="37" t="s">
        <v>49</v>
      </c>
      <c r="E13" s="39">
        <v>503</v>
      </c>
      <c r="F13" s="39">
        <v>513</v>
      </c>
      <c r="G13" s="40">
        <f t="shared" si="0"/>
        <v>10</v>
      </c>
      <c r="H13" s="41">
        <f t="shared" si="1"/>
        <v>508</v>
      </c>
      <c r="I13" s="74"/>
      <c r="J13" s="43">
        <f t="shared" si="2"/>
        <v>508</v>
      </c>
      <c r="K13" s="42">
        <f t="shared" si="3"/>
        <v>-508</v>
      </c>
      <c r="L13" s="44">
        <f t="shared" si="4"/>
        <v>-5</v>
      </c>
      <c r="M13" s="40">
        <f t="shared" si="5"/>
        <v>5</v>
      </c>
      <c r="N13" s="40">
        <f t="shared" si="8"/>
        <v>0</v>
      </c>
      <c r="O13" s="41">
        <f t="shared" si="9"/>
        <v>0</v>
      </c>
      <c r="P13" s="44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</row>
    <row r="14" spans="1:50" s="65" customFormat="1" x14ac:dyDescent="0.3">
      <c r="A14" s="58"/>
      <c r="B14" s="59"/>
      <c r="C14" s="58" t="s">
        <v>24</v>
      </c>
      <c r="D14" s="60" t="s">
        <v>22</v>
      </c>
      <c r="E14" s="68">
        <v>562</v>
      </c>
      <c r="F14" s="68">
        <v>582</v>
      </c>
      <c r="G14" s="63">
        <f t="shared" si="0"/>
        <v>20</v>
      </c>
      <c r="H14" s="64">
        <f t="shared" si="1"/>
        <v>572</v>
      </c>
      <c r="I14" s="74"/>
      <c r="J14" s="66">
        <f t="shared" si="2"/>
        <v>572</v>
      </c>
      <c r="K14" s="65">
        <f t="shared" si="3"/>
        <v>-572</v>
      </c>
      <c r="L14" s="67">
        <f t="shared" si="4"/>
        <v>-10</v>
      </c>
      <c r="M14" s="63">
        <f t="shared" si="5"/>
        <v>10</v>
      </c>
      <c r="N14" s="63">
        <f t="shared" si="8"/>
        <v>0</v>
      </c>
      <c r="O14" s="64">
        <f t="shared" si="9"/>
        <v>0</v>
      </c>
      <c r="P14" s="67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</row>
    <row r="15" spans="1:50" s="42" customFormat="1" x14ac:dyDescent="0.3">
      <c r="A15" s="35"/>
      <c r="B15" s="36"/>
      <c r="C15" s="35" t="s">
        <v>24</v>
      </c>
      <c r="D15" s="37" t="s">
        <v>50</v>
      </c>
      <c r="E15" s="39">
        <v>582</v>
      </c>
      <c r="F15" s="39">
        <v>602</v>
      </c>
      <c r="G15" s="40">
        <f t="shared" si="0"/>
        <v>20</v>
      </c>
      <c r="H15" s="41">
        <f t="shared" si="1"/>
        <v>592</v>
      </c>
      <c r="I15" s="74"/>
      <c r="J15" s="43">
        <f t="shared" si="2"/>
        <v>592</v>
      </c>
      <c r="K15" s="42">
        <f t="shared" si="3"/>
        <v>-592</v>
      </c>
      <c r="L15" s="44">
        <f t="shared" si="4"/>
        <v>-10</v>
      </c>
      <c r="M15" s="40">
        <f t="shared" si="5"/>
        <v>10</v>
      </c>
      <c r="N15" s="40">
        <f t="shared" si="8"/>
        <v>0</v>
      </c>
      <c r="O15" s="41">
        <f t="shared" si="9"/>
        <v>0</v>
      </c>
      <c r="P15" s="44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</row>
    <row r="16" spans="1:50" s="42" customFormat="1" x14ac:dyDescent="0.3">
      <c r="A16" s="35"/>
      <c r="B16" s="36"/>
      <c r="C16" s="35" t="s">
        <v>24</v>
      </c>
      <c r="D16" s="37" t="s">
        <v>51</v>
      </c>
      <c r="E16" s="39">
        <v>602</v>
      </c>
      <c r="F16" s="39">
        <v>622</v>
      </c>
      <c r="G16" s="40">
        <f t="shared" si="0"/>
        <v>20</v>
      </c>
      <c r="H16" s="41">
        <f t="shared" si="1"/>
        <v>612</v>
      </c>
      <c r="I16" s="74"/>
      <c r="J16" s="43">
        <f t="shared" si="2"/>
        <v>612</v>
      </c>
      <c r="K16" s="42">
        <f t="shared" si="3"/>
        <v>-612</v>
      </c>
      <c r="L16" s="44">
        <f t="shared" si="4"/>
        <v>-10</v>
      </c>
      <c r="M16" s="40">
        <f t="shared" si="5"/>
        <v>10</v>
      </c>
      <c r="N16" s="40">
        <f t="shared" si="8"/>
        <v>0</v>
      </c>
      <c r="O16" s="41">
        <f t="shared" si="9"/>
        <v>0</v>
      </c>
      <c r="P16" s="44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</row>
    <row r="17" spans="1:50" s="42" customFormat="1" x14ac:dyDescent="0.3">
      <c r="A17" s="35"/>
      <c r="B17" s="36"/>
      <c r="C17" s="35" t="s">
        <v>24</v>
      </c>
      <c r="D17" s="37" t="s">
        <v>54</v>
      </c>
      <c r="E17" s="39">
        <v>699</v>
      </c>
      <c r="F17" s="39">
        <v>709</v>
      </c>
      <c r="G17" s="40">
        <f t="shared" si="0"/>
        <v>10</v>
      </c>
      <c r="H17" s="41">
        <f t="shared" si="1"/>
        <v>704</v>
      </c>
      <c r="I17" s="74"/>
      <c r="J17" s="43">
        <f t="shared" si="2"/>
        <v>704</v>
      </c>
      <c r="K17" s="42">
        <f t="shared" si="3"/>
        <v>-704</v>
      </c>
      <c r="L17" s="44">
        <f t="shared" si="4"/>
        <v>-5</v>
      </c>
      <c r="M17" s="40">
        <f t="shared" si="5"/>
        <v>5</v>
      </c>
      <c r="N17" s="40">
        <f t="shared" si="8"/>
        <v>0</v>
      </c>
      <c r="O17" s="41">
        <f t="shared" si="9"/>
        <v>0</v>
      </c>
      <c r="P17" s="44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</row>
    <row r="18" spans="1:50" s="42" customFormat="1" x14ac:dyDescent="0.3">
      <c r="A18" s="35"/>
      <c r="B18" s="36"/>
      <c r="C18" s="35" t="s">
        <v>24</v>
      </c>
      <c r="D18" s="37" t="s">
        <v>61</v>
      </c>
      <c r="E18" s="47">
        <v>786</v>
      </c>
      <c r="F18" s="47">
        <v>798</v>
      </c>
      <c r="G18" s="40">
        <f t="shared" si="0"/>
        <v>12</v>
      </c>
      <c r="H18" s="41">
        <f t="shared" si="1"/>
        <v>792</v>
      </c>
      <c r="I18" s="74"/>
      <c r="J18" s="43">
        <f t="shared" si="2"/>
        <v>792</v>
      </c>
      <c r="K18" s="42">
        <f t="shared" si="3"/>
        <v>-792</v>
      </c>
      <c r="L18" s="44">
        <f t="shared" si="4"/>
        <v>-6</v>
      </c>
      <c r="M18" s="40">
        <f t="shared" si="5"/>
        <v>6</v>
      </c>
      <c r="N18" s="40">
        <f t="shared" si="8"/>
        <v>0</v>
      </c>
      <c r="O18" s="41">
        <f t="shared" si="9"/>
        <v>0</v>
      </c>
      <c r="P18" s="44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</row>
    <row r="19" spans="1:50" s="42" customFormat="1" x14ac:dyDescent="0.3">
      <c r="A19" s="35"/>
      <c r="B19" s="36"/>
      <c r="C19" s="35" t="s">
        <v>24</v>
      </c>
      <c r="D19" s="37" t="s">
        <v>64</v>
      </c>
      <c r="E19" s="47">
        <v>886</v>
      </c>
      <c r="F19" s="47">
        <v>890</v>
      </c>
      <c r="G19" s="40">
        <f t="shared" si="0"/>
        <v>4</v>
      </c>
      <c r="H19" s="41">
        <f t="shared" si="1"/>
        <v>888</v>
      </c>
      <c r="I19" s="74"/>
      <c r="J19" s="43">
        <f t="shared" si="2"/>
        <v>888</v>
      </c>
      <c r="K19" s="42">
        <f t="shared" si="3"/>
        <v>-888</v>
      </c>
      <c r="L19" s="44">
        <f t="shared" si="4"/>
        <v>-2</v>
      </c>
      <c r="M19" s="40">
        <f t="shared" si="5"/>
        <v>2</v>
      </c>
      <c r="N19" s="40">
        <f t="shared" si="8"/>
        <v>0</v>
      </c>
      <c r="O19" s="41">
        <f t="shared" si="9"/>
        <v>0</v>
      </c>
      <c r="P19" s="44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</row>
    <row r="20" spans="1:50" s="42" customFormat="1" x14ac:dyDescent="0.3">
      <c r="A20" s="35"/>
      <c r="B20" s="36"/>
      <c r="C20" s="35" t="s">
        <v>24</v>
      </c>
      <c r="D20" s="37" t="s">
        <v>68</v>
      </c>
      <c r="E20" s="47">
        <v>1020</v>
      </c>
      <c r="F20" s="47">
        <v>1030</v>
      </c>
      <c r="G20" s="40">
        <f t="shared" si="0"/>
        <v>10</v>
      </c>
      <c r="H20" s="41">
        <f t="shared" si="1"/>
        <v>1025</v>
      </c>
      <c r="I20" s="74"/>
      <c r="J20" s="43">
        <f t="shared" si="2"/>
        <v>1025</v>
      </c>
      <c r="K20" s="42">
        <f t="shared" si="3"/>
        <v>-1025</v>
      </c>
      <c r="L20" s="44">
        <f t="shared" si="4"/>
        <v>-5</v>
      </c>
      <c r="M20" s="40">
        <f t="shared" si="5"/>
        <v>5</v>
      </c>
      <c r="N20" s="40">
        <f t="shared" si="8"/>
        <v>0</v>
      </c>
      <c r="O20" s="41">
        <f t="shared" si="9"/>
        <v>0</v>
      </c>
      <c r="P20" s="44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</row>
    <row r="21" spans="1:50" s="42" customFormat="1" x14ac:dyDescent="0.3">
      <c r="A21" s="35"/>
      <c r="B21" s="36"/>
      <c r="C21" s="35" t="s">
        <v>24</v>
      </c>
      <c r="D21" s="37" t="s">
        <v>76</v>
      </c>
      <c r="E21" s="47">
        <v>1176</v>
      </c>
      <c r="F21" s="47">
        <v>1186</v>
      </c>
      <c r="G21" s="40">
        <f t="shared" si="0"/>
        <v>10</v>
      </c>
      <c r="H21" s="41">
        <f t="shared" si="1"/>
        <v>1181</v>
      </c>
      <c r="I21" s="74"/>
      <c r="J21" s="43">
        <f t="shared" si="2"/>
        <v>1181</v>
      </c>
      <c r="K21" s="42">
        <f t="shared" si="3"/>
        <v>-1181</v>
      </c>
      <c r="L21" s="44">
        <f t="shared" si="4"/>
        <v>-5</v>
      </c>
      <c r="M21" s="40">
        <f t="shared" si="5"/>
        <v>5</v>
      </c>
      <c r="N21" s="40">
        <f t="shared" si="8"/>
        <v>0</v>
      </c>
      <c r="O21" s="41">
        <f t="shared" si="9"/>
        <v>0</v>
      </c>
      <c r="P21" s="44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</row>
    <row r="22" spans="1:50" s="42" customFormat="1" x14ac:dyDescent="0.3">
      <c r="A22" s="35"/>
      <c r="B22" s="36"/>
      <c r="C22" s="35" t="s">
        <v>24</v>
      </c>
      <c r="D22" s="37" t="s">
        <v>78</v>
      </c>
      <c r="E22" s="47">
        <v>1263</v>
      </c>
      <c r="F22" s="47">
        <v>1283</v>
      </c>
      <c r="G22" s="40">
        <f t="shared" si="0"/>
        <v>20</v>
      </c>
      <c r="H22" s="41">
        <f t="shared" si="1"/>
        <v>1273</v>
      </c>
      <c r="I22" s="74"/>
      <c r="J22" s="43">
        <f t="shared" si="2"/>
        <v>1273</v>
      </c>
      <c r="K22" s="42">
        <f t="shared" si="3"/>
        <v>-1273</v>
      </c>
      <c r="L22" s="44">
        <f t="shared" si="4"/>
        <v>-10</v>
      </c>
      <c r="M22" s="40">
        <f t="shared" si="5"/>
        <v>10</v>
      </c>
      <c r="N22" s="40">
        <f t="shared" si="8"/>
        <v>0</v>
      </c>
      <c r="O22" s="41">
        <f t="shared" si="9"/>
        <v>0</v>
      </c>
      <c r="P22" s="44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</row>
    <row r="23" spans="1:50" s="42" customFormat="1" x14ac:dyDescent="0.3">
      <c r="A23" s="35"/>
      <c r="B23" s="36"/>
      <c r="C23" s="35" t="s">
        <v>24</v>
      </c>
      <c r="D23" s="37" t="s">
        <v>79</v>
      </c>
      <c r="E23" s="47">
        <v>1315</v>
      </c>
      <c r="F23" s="47">
        <v>1335</v>
      </c>
      <c r="G23" s="40">
        <f t="shared" si="0"/>
        <v>20</v>
      </c>
      <c r="H23" s="41">
        <f t="shared" si="1"/>
        <v>1325</v>
      </c>
      <c r="I23" s="74"/>
      <c r="J23" s="43">
        <f t="shared" si="2"/>
        <v>1325</v>
      </c>
      <c r="K23" s="42">
        <f t="shared" si="3"/>
        <v>-1325</v>
      </c>
      <c r="L23" s="44">
        <f t="shared" si="4"/>
        <v>-10</v>
      </c>
      <c r="M23" s="40">
        <f t="shared" si="5"/>
        <v>10</v>
      </c>
      <c r="N23" s="40">
        <f t="shared" si="8"/>
        <v>0</v>
      </c>
      <c r="O23" s="41">
        <f t="shared" si="9"/>
        <v>0</v>
      </c>
      <c r="P23" s="44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</row>
    <row r="24" spans="1:50" s="42" customFormat="1" x14ac:dyDescent="0.3">
      <c r="A24" s="35"/>
      <c r="B24" s="36"/>
      <c r="C24" s="35" t="s">
        <v>24</v>
      </c>
      <c r="D24" s="37" t="s">
        <v>80</v>
      </c>
      <c r="E24" s="47">
        <v>1344</v>
      </c>
      <c r="F24" s="47">
        <v>1364</v>
      </c>
      <c r="G24" s="40">
        <f t="shared" si="0"/>
        <v>20</v>
      </c>
      <c r="H24" s="41">
        <f t="shared" si="1"/>
        <v>1354</v>
      </c>
      <c r="I24" s="74"/>
      <c r="J24" s="43">
        <f t="shared" si="2"/>
        <v>1354</v>
      </c>
      <c r="K24" s="42">
        <f t="shared" si="3"/>
        <v>-1354</v>
      </c>
      <c r="L24" s="44">
        <f t="shared" si="4"/>
        <v>-10</v>
      </c>
      <c r="M24" s="40">
        <f t="shared" si="5"/>
        <v>10</v>
      </c>
      <c r="N24" s="40">
        <f t="shared" si="8"/>
        <v>0</v>
      </c>
      <c r="O24" s="41">
        <f t="shared" si="9"/>
        <v>0</v>
      </c>
      <c r="P24" s="44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</row>
    <row r="25" spans="1:50" s="42" customFormat="1" x14ac:dyDescent="0.3">
      <c r="A25" s="35"/>
      <c r="B25" s="36"/>
      <c r="C25" s="35" t="s">
        <v>24</v>
      </c>
      <c r="D25" s="37" t="s">
        <v>82</v>
      </c>
      <c r="E25" s="47">
        <v>1391</v>
      </c>
      <c r="F25" s="47">
        <v>1403</v>
      </c>
      <c r="G25" s="40">
        <f t="shared" si="0"/>
        <v>12</v>
      </c>
      <c r="H25" s="41">
        <f t="shared" si="1"/>
        <v>1397</v>
      </c>
      <c r="I25" s="74"/>
      <c r="J25" s="43">
        <f t="shared" si="2"/>
        <v>1397</v>
      </c>
      <c r="K25" s="42">
        <f t="shared" si="3"/>
        <v>-1397</v>
      </c>
      <c r="L25" s="44">
        <f t="shared" si="4"/>
        <v>-6</v>
      </c>
      <c r="M25" s="40">
        <f t="shared" si="5"/>
        <v>6</v>
      </c>
      <c r="N25" s="40">
        <f t="shared" si="8"/>
        <v>0</v>
      </c>
      <c r="O25" s="41">
        <f t="shared" si="9"/>
        <v>0</v>
      </c>
      <c r="P25" s="44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</row>
    <row r="26" spans="1:50" s="42" customFormat="1" x14ac:dyDescent="0.3">
      <c r="A26" s="35"/>
      <c r="B26" s="36"/>
      <c r="C26" s="35" t="s">
        <v>24</v>
      </c>
      <c r="D26" s="37" t="s">
        <v>83</v>
      </c>
      <c r="E26" s="47">
        <v>1404</v>
      </c>
      <c r="F26" s="47">
        <v>1416</v>
      </c>
      <c r="G26" s="40">
        <f t="shared" si="0"/>
        <v>12</v>
      </c>
      <c r="H26" s="41">
        <f t="shared" si="1"/>
        <v>1410</v>
      </c>
      <c r="I26" s="74"/>
      <c r="J26" s="43">
        <f t="shared" si="2"/>
        <v>1410</v>
      </c>
      <c r="K26" s="42">
        <f t="shared" si="3"/>
        <v>-1410</v>
      </c>
      <c r="L26" s="44">
        <f t="shared" si="4"/>
        <v>-6</v>
      </c>
      <c r="M26" s="40">
        <f t="shared" si="5"/>
        <v>6</v>
      </c>
      <c r="N26" s="40">
        <f t="shared" si="8"/>
        <v>0</v>
      </c>
      <c r="O26" s="41">
        <f t="shared" si="9"/>
        <v>0</v>
      </c>
      <c r="P26" s="44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</row>
    <row r="27" spans="1:50" s="42" customFormat="1" x14ac:dyDescent="0.3">
      <c r="A27" s="35"/>
      <c r="B27" s="36"/>
      <c r="C27" s="35" t="s">
        <v>24</v>
      </c>
      <c r="D27" s="37" t="s">
        <v>85</v>
      </c>
      <c r="E27" s="47">
        <v>1435</v>
      </c>
      <c r="F27" s="47">
        <v>1455</v>
      </c>
      <c r="G27" s="40">
        <f t="shared" si="0"/>
        <v>20</v>
      </c>
      <c r="H27" s="41">
        <f t="shared" si="1"/>
        <v>1445</v>
      </c>
      <c r="I27" s="74"/>
      <c r="J27" s="43">
        <f t="shared" si="2"/>
        <v>1445</v>
      </c>
      <c r="K27" s="42">
        <f t="shared" si="3"/>
        <v>-1445</v>
      </c>
      <c r="L27" s="44">
        <f t="shared" si="4"/>
        <v>-10</v>
      </c>
      <c r="M27" s="40">
        <f t="shared" si="5"/>
        <v>10</v>
      </c>
      <c r="N27" s="40">
        <f t="shared" si="8"/>
        <v>0</v>
      </c>
      <c r="O27" s="41">
        <f t="shared" si="9"/>
        <v>0</v>
      </c>
      <c r="P27" s="44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</row>
    <row r="28" spans="1:50" s="42" customFormat="1" x14ac:dyDescent="0.3">
      <c r="A28" s="35"/>
      <c r="B28" s="36"/>
      <c r="C28" s="35" t="s">
        <v>24</v>
      </c>
      <c r="D28" s="37" t="s">
        <v>86</v>
      </c>
      <c r="E28" s="47">
        <v>1478</v>
      </c>
      <c r="F28" s="47">
        <v>1498</v>
      </c>
      <c r="G28" s="40">
        <f t="shared" si="0"/>
        <v>20</v>
      </c>
      <c r="H28" s="41">
        <f t="shared" si="1"/>
        <v>1488</v>
      </c>
      <c r="I28" s="74"/>
      <c r="J28" s="43">
        <f t="shared" si="2"/>
        <v>1488</v>
      </c>
      <c r="K28" s="42">
        <f t="shared" si="3"/>
        <v>-1488</v>
      </c>
      <c r="L28" s="44">
        <f t="shared" si="4"/>
        <v>-10</v>
      </c>
      <c r="M28" s="40">
        <f t="shared" si="5"/>
        <v>10</v>
      </c>
      <c r="N28" s="40">
        <f t="shared" si="8"/>
        <v>0</v>
      </c>
      <c r="O28" s="41">
        <f t="shared" si="9"/>
        <v>0</v>
      </c>
      <c r="P28" s="44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</row>
    <row r="29" spans="1:50" s="42" customFormat="1" x14ac:dyDescent="0.3">
      <c r="A29" s="35"/>
      <c r="B29" s="36"/>
      <c r="C29" s="35" t="s">
        <v>24</v>
      </c>
      <c r="D29" s="37" t="s">
        <v>89</v>
      </c>
      <c r="E29" s="47">
        <v>1544</v>
      </c>
      <c r="F29" s="47">
        <v>1554</v>
      </c>
      <c r="G29" s="40">
        <f t="shared" si="0"/>
        <v>10</v>
      </c>
      <c r="H29" s="41">
        <f t="shared" si="1"/>
        <v>1549</v>
      </c>
      <c r="I29" s="74"/>
      <c r="J29" s="43">
        <f t="shared" si="2"/>
        <v>1549</v>
      </c>
      <c r="K29" s="42">
        <f t="shared" si="3"/>
        <v>-1549</v>
      </c>
      <c r="L29" s="44">
        <f t="shared" si="4"/>
        <v>-5</v>
      </c>
      <c r="M29" s="40">
        <f t="shared" si="5"/>
        <v>5</v>
      </c>
      <c r="N29" s="40">
        <f t="shared" si="8"/>
        <v>0</v>
      </c>
      <c r="O29" s="41">
        <f t="shared" si="9"/>
        <v>0</v>
      </c>
      <c r="P29" s="44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</row>
    <row r="30" spans="1:50" s="42" customFormat="1" x14ac:dyDescent="0.3">
      <c r="A30" s="35"/>
      <c r="B30" s="36"/>
      <c r="C30" s="35" t="s">
        <v>24</v>
      </c>
      <c r="D30" s="37" t="s">
        <v>90</v>
      </c>
      <c r="E30" s="48">
        <v>1550</v>
      </c>
      <c r="F30" s="48">
        <v>1560</v>
      </c>
      <c r="G30" s="40">
        <f t="shared" si="0"/>
        <v>10</v>
      </c>
      <c r="H30" s="41">
        <f t="shared" si="1"/>
        <v>1555</v>
      </c>
      <c r="I30" s="74"/>
      <c r="J30" s="43">
        <f t="shared" si="2"/>
        <v>1555</v>
      </c>
      <c r="K30" s="42">
        <f t="shared" si="3"/>
        <v>-1555</v>
      </c>
      <c r="L30" s="44">
        <f t="shared" si="4"/>
        <v>-5</v>
      </c>
      <c r="M30" s="40">
        <f t="shared" si="5"/>
        <v>5</v>
      </c>
      <c r="N30" s="40">
        <f t="shared" si="8"/>
        <v>0</v>
      </c>
      <c r="O30" s="41">
        <f t="shared" si="9"/>
        <v>0</v>
      </c>
      <c r="P30" s="44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</row>
    <row r="31" spans="1:50" s="42" customFormat="1" x14ac:dyDescent="0.3">
      <c r="A31" s="35"/>
      <c r="B31" s="36"/>
      <c r="C31" s="35" t="s">
        <v>24</v>
      </c>
      <c r="D31" s="37" t="s">
        <v>92</v>
      </c>
      <c r="E31" s="48">
        <v>1572</v>
      </c>
      <c r="F31" s="48">
        <v>1580</v>
      </c>
      <c r="G31" s="40">
        <f t="shared" si="0"/>
        <v>8</v>
      </c>
      <c r="H31" s="41">
        <f t="shared" si="1"/>
        <v>1576</v>
      </c>
      <c r="I31" s="74"/>
      <c r="J31" s="43">
        <f t="shared" si="2"/>
        <v>1576</v>
      </c>
      <c r="K31" s="42">
        <f t="shared" si="3"/>
        <v>-1576</v>
      </c>
      <c r="L31" s="44">
        <f t="shared" si="4"/>
        <v>-4</v>
      </c>
      <c r="M31" s="40">
        <f t="shared" si="5"/>
        <v>4</v>
      </c>
      <c r="N31" s="40">
        <f t="shared" si="8"/>
        <v>0</v>
      </c>
      <c r="O31" s="41">
        <f t="shared" si="9"/>
        <v>0</v>
      </c>
      <c r="P31" s="44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</row>
    <row r="32" spans="1:50" s="65" customFormat="1" x14ac:dyDescent="0.3">
      <c r="A32" s="58"/>
      <c r="B32" s="59"/>
      <c r="C32" s="58" t="s">
        <v>24</v>
      </c>
      <c r="D32" s="60" t="s">
        <v>23</v>
      </c>
      <c r="E32" s="61">
        <v>1657</v>
      </c>
      <c r="F32" s="62">
        <v>1667</v>
      </c>
      <c r="G32" s="63">
        <f>F32-E32</f>
        <v>10</v>
      </c>
      <c r="H32" s="64">
        <f>E32+G32/2</f>
        <v>1662</v>
      </c>
      <c r="I32" s="74"/>
      <c r="J32" s="66">
        <f>H32-I32</f>
        <v>1662</v>
      </c>
      <c r="K32" s="65">
        <f>-1*(ROUND(J32,0))</f>
        <v>-1662</v>
      </c>
      <c r="L32" s="67">
        <f>E32+K32</f>
        <v>-5</v>
      </c>
      <c r="M32" s="63">
        <f>F32+K32</f>
        <v>5</v>
      </c>
      <c r="N32" s="63">
        <f>H32+K32</f>
        <v>0</v>
      </c>
      <c r="O32" s="64">
        <f>N32-I32</f>
        <v>0</v>
      </c>
      <c r="P32" s="67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3"/>
      <c r="AQ32" s="63"/>
      <c r="AR32" s="63"/>
      <c r="AS32" s="63"/>
      <c r="AT32" s="63"/>
      <c r="AU32" s="63"/>
      <c r="AV32" s="63"/>
      <c r="AW32" s="63"/>
      <c r="AX32" s="63"/>
    </row>
    <row r="33" spans="1:50" s="42" customFormat="1" x14ac:dyDescent="0.3">
      <c r="A33" s="35"/>
      <c r="B33" s="36"/>
      <c r="C33" s="35" t="s">
        <v>24</v>
      </c>
      <c r="D33" s="37" t="s">
        <v>98</v>
      </c>
      <c r="E33" s="48">
        <v>1659</v>
      </c>
      <c r="F33" s="48">
        <v>1663</v>
      </c>
      <c r="G33" s="40">
        <f>F33-E33</f>
        <v>4</v>
      </c>
      <c r="H33" s="41">
        <f>E33+G33/2</f>
        <v>1661</v>
      </c>
      <c r="I33" s="74"/>
      <c r="J33" s="43">
        <f>H33-I33</f>
        <v>1661</v>
      </c>
      <c r="K33" s="42">
        <f>-1*(ROUND(J33,0))</f>
        <v>-1661</v>
      </c>
      <c r="L33" s="44">
        <f>E33+K33</f>
        <v>-2</v>
      </c>
      <c r="M33" s="40">
        <f>F33+K33</f>
        <v>2</v>
      </c>
      <c r="N33" s="40">
        <f>H33+K33</f>
        <v>0</v>
      </c>
      <c r="O33" s="41">
        <f>N33-I33</f>
        <v>0</v>
      </c>
      <c r="P33" s="44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</row>
    <row r="34" spans="1:50" s="42" customFormat="1" x14ac:dyDescent="0.3">
      <c r="A34" s="35"/>
      <c r="B34" s="36"/>
      <c r="C34" s="35" t="s">
        <v>24</v>
      </c>
      <c r="D34" s="37" t="s">
        <v>102</v>
      </c>
      <c r="E34" s="49">
        <v>1716</v>
      </c>
      <c r="F34" s="48">
        <v>1726</v>
      </c>
      <c r="G34" s="40">
        <f t="shared" si="0"/>
        <v>10</v>
      </c>
      <c r="H34" s="41">
        <f t="shared" si="1"/>
        <v>1721</v>
      </c>
      <c r="I34" s="74"/>
      <c r="J34" s="43">
        <f t="shared" si="2"/>
        <v>1721</v>
      </c>
      <c r="K34" s="42">
        <f t="shared" si="3"/>
        <v>-1721</v>
      </c>
      <c r="L34" s="44">
        <f t="shared" si="4"/>
        <v>-5</v>
      </c>
      <c r="M34" s="40">
        <f t="shared" si="5"/>
        <v>5</v>
      </c>
      <c r="N34" s="40">
        <f t="shared" si="8"/>
        <v>0</v>
      </c>
      <c r="O34" s="41">
        <f t="shared" si="9"/>
        <v>0</v>
      </c>
      <c r="P34" s="44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</row>
    <row r="35" spans="1:50" s="42" customFormat="1" x14ac:dyDescent="0.3">
      <c r="A35" s="35"/>
      <c r="B35" s="36"/>
      <c r="C35" s="35" t="s">
        <v>24</v>
      </c>
      <c r="D35" s="37" t="s">
        <v>108</v>
      </c>
      <c r="E35" s="49">
        <v>2006</v>
      </c>
      <c r="F35" s="49">
        <v>2020</v>
      </c>
      <c r="G35" s="40">
        <f t="shared" si="0"/>
        <v>14</v>
      </c>
      <c r="H35" s="41">
        <f t="shared" si="1"/>
        <v>2013</v>
      </c>
      <c r="I35" s="74"/>
      <c r="J35" s="43">
        <f t="shared" si="2"/>
        <v>2013</v>
      </c>
      <c r="K35" s="42">
        <f t="shared" si="3"/>
        <v>-2013</v>
      </c>
      <c r="L35" s="44">
        <f t="shared" si="4"/>
        <v>-7</v>
      </c>
      <c r="M35" s="40">
        <f t="shared" si="5"/>
        <v>7</v>
      </c>
      <c r="N35" s="40">
        <f t="shared" si="8"/>
        <v>0</v>
      </c>
      <c r="O35" s="41">
        <f t="shared" si="9"/>
        <v>0</v>
      </c>
      <c r="P35" s="44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</row>
    <row r="36" spans="1:50" s="42" customFormat="1" x14ac:dyDescent="0.3">
      <c r="A36" s="35"/>
      <c r="B36" s="36"/>
      <c r="C36" s="35" t="s">
        <v>24</v>
      </c>
      <c r="D36" s="37" t="s">
        <v>109</v>
      </c>
      <c r="E36" s="49">
        <v>2030</v>
      </c>
      <c r="F36" s="49">
        <v>2040</v>
      </c>
      <c r="G36" s="40">
        <f t="shared" si="0"/>
        <v>10</v>
      </c>
      <c r="H36" s="41">
        <f t="shared" si="1"/>
        <v>2035</v>
      </c>
      <c r="I36" s="74"/>
      <c r="J36" s="43">
        <f t="shared" si="2"/>
        <v>2035</v>
      </c>
      <c r="K36" s="42">
        <f t="shared" si="3"/>
        <v>-2035</v>
      </c>
      <c r="L36" s="44">
        <f t="shared" si="4"/>
        <v>-5</v>
      </c>
      <c r="M36" s="40">
        <f t="shared" si="5"/>
        <v>5</v>
      </c>
      <c r="N36" s="40">
        <f t="shared" si="8"/>
        <v>0</v>
      </c>
      <c r="O36" s="41">
        <f t="shared" si="9"/>
        <v>0</v>
      </c>
      <c r="P36" s="44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</row>
    <row r="37" spans="1:50" s="42" customFormat="1" x14ac:dyDescent="0.3">
      <c r="A37" s="35"/>
      <c r="B37" s="36"/>
      <c r="C37" s="35" t="s">
        <v>24</v>
      </c>
      <c r="D37" s="37" t="s">
        <v>111</v>
      </c>
      <c r="E37" s="49">
        <v>2106</v>
      </c>
      <c r="F37" s="49">
        <v>2126</v>
      </c>
      <c r="G37" s="40">
        <f t="shared" si="0"/>
        <v>20</v>
      </c>
      <c r="H37" s="41">
        <f t="shared" si="1"/>
        <v>2116</v>
      </c>
      <c r="I37" s="74"/>
      <c r="J37" s="43">
        <f t="shared" si="2"/>
        <v>2116</v>
      </c>
      <c r="K37" s="42">
        <f t="shared" si="3"/>
        <v>-2116</v>
      </c>
      <c r="L37" s="44">
        <f t="shared" si="4"/>
        <v>-10</v>
      </c>
      <c r="M37" s="40">
        <f t="shared" si="5"/>
        <v>10</v>
      </c>
      <c r="N37" s="40">
        <f t="shared" si="8"/>
        <v>0</v>
      </c>
      <c r="O37" s="41">
        <f t="shared" si="9"/>
        <v>0</v>
      </c>
      <c r="P37" s="44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</row>
  </sheetData>
  <mergeCells count="3">
    <mergeCell ref="E2:H2"/>
    <mergeCell ref="I2:K2"/>
    <mergeCell ref="L2:O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37954-93A7-474B-B3CB-A43D3B5BE4C9}">
  <dimension ref="A1:AX103"/>
  <sheetViews>
    <sheetView topLeftCell="B1" workbookViewId="0">
      <selection activeCell="D16" sqref="D16"/>
    </sheetView>
  </sheetViews>
  <sheetFormatPr defaultRowHeight="14.4" x14ac:dyDescent="0.3"/>
  <cols>
    <col min="1" max="1" width="12" style="1" customWidth="1"/>
    <col min="2" max="2" width="25.44140625" customWidth="1"/>
    <col min="3" max="3" width="13.5546875" style="1" customWidth="1"/>
    <col min="4" max="4" width="24.109375" style="3" customWidth="1"/>
    <col min="5" max="5" width="8.88671875" style="4"/>
    <col min="6" max="6" width="8.88671875" style="5"/>
    <col min="7" max="7" width="10.109375" customWidth="1"/>
    <col min="8" max="8" width="8.88671875" style="6"/>
    <col min="9" max="9" width="11.5546875" style="24" customWidth="1"/>
    <col min="10" max="10" width="14.6640625" style="1" customWidth="1"/>
    <col min="11" max="11" width="15.5546875" style="1" customWidth="1"/>
    <col min="12" max="12" width="14.109375" style="7" customWidth="1"/>
    <col min="13" max="13" width="12.5546875" customWidth="1"/>
    <col min="14" max="14" width="13.88671875" customWidth="1"/>
    <col min="15" max="15" width="21.33203125" style="6" customWidth="1"/>
  </cols>
  <sheetData>
    <row r="1" spans="1:15" ht="15" thickBot="1" x14ac:dyDescent="0.35">
      <c r="B1" t="s">
        <v>0</v>
      </c>
      <c r="C1" s="2">
        <v>45637</v>
      </c>
      <c r="I1" s="4"/>
      <c r="J1"/>
      <c r="K1" s="6"/>
    </row>
    <row r="2" spans="1:15" x14ac:dyDescent="0.3">
      <c r="A2" s="8"/>
      <c r="B2" s="9"/>
      <c r="C2" s="8"/>
      <c r="D2" s="10"/>
      <c r="E2" s="75" t="s">
        <v>1</v>
      </c>
      <c r="F2" s="76"/>
      <c r="G2" s="77"/>
      <c r="H2" s="78"/>
      <c r="I2" s="75" t="s">
        <v>2</v>
      </c>
      <c r="J2" s="76"/>
      <c r="K2" s="79"/>
      <c r="L2" s="75" t="s">
        <v>3</v>
      </c>
      <c r="M2" s="76"/>
      <c r="N2" s="76"/>
      <c r="O2" s="79"/>
    </row>
    <row r="3" spans="1:15" s="18" customFormat="1" ht="30" thickBot="1" x14ac:dyDescent="0.4">
      <c r="A3" s="14" t="s">
        <v>4</v>
      </c>
      <c r="B3" s="15" t="s">
        <v>5</v>
      </c>
      <c r="C3" s="14" t="s">
        <v>6</v>
      </c>
      <c r="D3" s="14" t="s">
        <v>7</v>
      </c>
      <c r="E3" s="16" t="s">
        <v>8</v>
      </c>
      <c r="F3" s="15" t="s">
        <v>9</v>
      </c>
      <c r="G3" s="15" t="s">
        <v>10</v>
      </c>
      <c r="H3" s="17" t="s">
        <v>11</v>
      </c>
      <c r="I3" s="16" t="s">
        <v>12</v>
      </c>
      <c r="J3" s="15" t="s">
        <v>13</v>
      </c>
      <c r="K3" s="17" t="s">
        <v>14</v>
      </c>
      <c r="L3" s="16" t="s">
        <v>15</v>
      </c>
      <c r="M3" s="15" t="s">
        <v>16</v>
      </c>
      <c r="N3" s="15" t="s">
        <v>17</v>
      </c>
      <c r="O3" s="17" t="s">
        <v>18</v>
      </c>
    </row>
    <row r="4" spans="1:15" x14ac:dyDescent="0.3">
      <c r="A4" s="8"/>
      <c r="B4" s="9"/>
      <c r="C4" s="8" t="s">
        <v>19</v>
      </c>
      <c r="D4" s="19" t="s">
        <v>20</v>
      </c>
      <c r="E4" s="11">
        <v>30</v>
      </c>
      <c r="F4" s="12">
        <v>50</v>
      </c>
      <c r="G4" s="12">
        <f t="shared" ref="G4:G71" si="0">F4-E4</f>
        <v>20</v>
      </c>
      <c r="H4" s="13">
        <f t="shared" ref="H4:H71" si="1">E4+G4/2</f>
        <v>40</v>
      </c>
      <c r="I4" s="20"/>
      <c r="J4" s="21">
        <f t="shared" ref="J4:J71" si="2">H4-I4</f>
        <v>40</v>
      </c>
      <c r="K4" s="20">
        <f t="shared" ref="K4:K71" si="3">-1*(ROUND(J4,0))</f>
        <v>-40</v>
      </c>
      <c r="L4" s="11">
        <f t="shared" ref="L4:L71" si="4">E4+K4</f>
        <v>-10</v>
      </c>
      <c r="M4" s="12">
        <f t="shared" ref="M4:M71" si="5">F4+K4</f>
        <v>10</v>
      </c>
      <c r="N4" s="12">
        <f t="shared" ref="N4:N71" si="6">H4+K4</f>
        <v>0</v>
      </c>
      <c r="O4" s="13">
        <f t="shared" ref="O4:O71" si="7">N4-I4</f>
        <v>0</v>
      </c>
    </row>
    <row r="5" spans="1:15" x14ac:dyDescent="0.3">
      <c r="C5" s="1" t="s">
        <v>19</v>
      </c>
      <c r="D5" s="22" t="s">
        <v>21</v>
      </c>
      <c r="E5" s="4">
        <v>355</v>
      </c>
      <c r="F5" s="5">
        <v>415</v>
      </c>
      <c r="G5" s="5">
        <f t="shared" si="0"/>
        <v>60</v>
      </c>
      <c r="H5" s="23">
        <f t="shared" si="1"/>
        <v>385</v>
      </c>
      <c r="J5" s="25">
        <f t="shared" si="2"/>
        <v>385</v>
      </c>
      <c r="K5" s="24">
        <f t="shared" si="3"/>
        <v>-385</v>
      </c>
      <c r="L5" s="4">
        <f t="shared" si="4"/>
        <v>-30</v>
      </c>
      <c r="M5" s="5">
        <f t="shared" si="5"/>
        <v>30</v>
      </c>
      <c r="N5" s="5">
        <f t="shared" si="6"/>
        <v>0</v>
      </c>
      <c r="O5" s="23">
        <f t="shared" si="7"/>
        <v>0</v>
      </c>
    </row>
    <row r="6" spans="1:15" x14ac:dyDescent="0.3">
      <c r="C6" s="1" t="s">
        <v>19</v>
      </c>
      <c r="D6" s="22" t="s">
        <v>22</v>
      </c>
      <c r="E6" s="4">
        <v>550</v>
      </c>
      <c r="F6" s="5">
        <v>590</v>
      </c>
      <c r="G6" s="5">
        <f t="shared" si="0"/>
        <v>40</v>
      </c>
      <c r="H6" s="23">
        <f t="shared" si="1"/>
        <v>570</v>
      </c>
      <c r="J6" s="25">
        <f t="shared" si="2"/>
        <v>570</v>
      </c>
      <c r="K6" s="24">
        <f t="shared" si="3"/>
        <v>-570</v>
      </c>
      <c r="L6" s="4">
        <f t="shared" si="4"/>
        <v>-20</v>
      </c>
      <c r="M6" s="5">
        <f t="shared" si="5"/>
        <v>20</v>
      </c>
      <c r="N6" s="5">
        <f t="shared" si="6"/>
        <v>0</v>
      </c>
      <c r="O6" s="23">
        <f t="shared" si="7"/>
        <v>0</v>
      </c>
    </row>
    <row r="7" spans="1:15" ht="15" thickBot="1" x14ac:dyDescent="0.35">
      <c r="A7" s="26"/>
      <c r="B7" s="27"/>
      <c r="C7" s="26" t="s">
        <v>19</v>
      </c>
      <c r="D7" s="28" t="s">
        <v>23</v>
      </c>
      <c r="E7" s="29">
        <v>1630</v>
      </c>
      <c r="F7" s="30">
        <v>1690</v>
      </c>
      <c r="G7" s="30">
        <f t="shared" si="0"/>
        <v>60</v>
      </c>
      <c r="H7" s="31">
        <f t="shared" si="1"/>
        <v>1660</v>
      </c>
      <c r="I7" s="32"/>
      <c r="J7" s="33">
        <f t="shared" si="2"/>
        <v>1660</v>
      </c>
      <c r="K7" s="32">
        <f t="shared" si="3"/>
        <v>-1660</v>
      </c>
      <c r="L7" s="29">
        <f t="shared" si="4"/>
        <v>-30</v>
      </c>
      <c r="M7" s="30">
        <f t="shared" si="5"/>
        <v>30</v>
      </c>
      <c r="N7" s="30">
        <f t="shared" si="6"/>
        <v>0</v>
      </c>
      <c r="O7" s="31">
        <f t="shared" si="7"/>
        <v>0</v>
      </c>
    </row>
    <row r="8" spans="1:15" x14ac:dyDescent="0.3">
      <c r="C8" s="1" t="s">
        <v>24</v>
      </c>
      <c r="D8" s="22" t="s">
        <v>25</v>
      </c>
      <c r="E8" s="50">
        <v>14</v>
      </c>
      <c r="F8" s="51">
        <v>22</v>
      </c>
      <c r="G8" s="5">
        <f t="shared" si="0"/>
        <v>8</v>
      </c>
      <c r="H8" s="23">
        <f t="shared" si="1"/>
        <v>18</v>
      </c>
      <c r="I8" s="24">
        <v>0</v>
      </c>
      <c r="J8" s="25">
        <f t="shared" si="2"/>
        <v>18</v>
      </c>
      <c r="K8" s="20">
        <f t="shared" si="3"/>
        <v>-18</v>
      </c>
      <c r="L8" s="4">
        <f t="shared" si="4"/>
        <v>-4</v>
      </c>
      <c r="M8" s="5">
        <f t="shared" si="5"/>
        <v>4</v>
      </c>
      <c r="N8" s="5">
        <f t="shared" si="6"/>
        <v>0</v>
      </c>
      <c r="O8" s="23">
        <f t="shared" si="7"/>
        <v>0</v>
      </c>
    </row>
    <row r="9" spans="1:15" x14ac:dyDescent="0.3">
      <c r="C9" s="1" t="s">
        <v>24</v>
      </c>
      <c r="D9" s="22" t="s">
        <v>26</v>
      </c>
      <c r="E9" s="51">
        <v>22</v>
      </c>
      <c r="F9" s="52">
        <v>30</v>
      </c>
      <c r="G9" s="5">
        <f t="shared" si="0"/>
        <v>8</v>
      </c>
      <c r="H9" s="23">
        <f t="shared" si="1"/>
        <v>26</v>
      </c>
      <c r="I9" s="24">
        <v>0</v>
      </c>
      <c r="J9" s="25">
        <f t="shared" si="2"/>
        <v>26</v>
      </c>
      <c r="K9" s="24">
        <f t="shared" si="3"/>
        <v>-26</v>
      </c>
      <c r="L9" s="4">
        <f t="shared" si="4"/>
        <v>-4</v>
      </c>
      <c r="M9" s="5">
        <f t="shared" si="5"/>
        <v>4</v>
      </c>
      <c r="N9" s="5">
        <f t="shared" si="6"/>
        <v>0</v>
      </c>
      <c r="O9" s="23">
        <f t="shared" si="7"/>
        <v>0</v>
      </c>
    </row>
    <row r="10" spans="1:15" ht="15" thickBot="1" x14ac:dyDescent="0.35">
      <c r="C10" s="1" t="s">
        <v>24</v>
      </c>
      <c r="D10" s="22" t="s">
        <v>27</v>
      </c>
      <c r="E10" s="52">
        <v>30</v>
      </c>
      <c r="F10" s="51">
        <v>38</v>
      </c>
      <c r="G10" s="5">
        <f t="shared" si="0"/>
        <v>8</v>
      </c>
      <c r="H10" s="23">
        <f t="shared" si="1"/>
        <v>34</v>
      </c>
      <c r="I10" s="24">
        <v>0</v>
      </c>
      <c r="J10" s="25">
        <f t="shared" si="2"/>
        <v>34</v>
      </c>
      <c r="K10" s="24">
        <f t="shared" si="3"/>
        <v>-34</v>
      </c>
      <c r="L10" s="4">
        <f t="shared" si="4"/>
        <v>-4</v>
      </c>
      <c r="M10" s="5">
        <f t="shared" si="5"/>
        <v>4</v>
      </c>
      <c r="N10" s="5">
        <f t="shared" si="6"/>
        <v>0</v>
      </c>
      <c r="O10" s="23">
        <f t="shared" si="7"/>
        <v>0</v>
      </c>
    </row>
    <row r="11" spans="1:15" s="59" customFormat="1" x14ac:dyDescent="0.3">
      <c r="A11" s="58"/>
      <c r="C11" s="58"/>
      <c r="D11" s="60" t="s">
        <v>20</v>
      </c>
      <c r="E11" s="69">
        <v>30</v>
      </c>
      <c r="F11" s="70">
        <v>50</v>
      </c>
      <c r="G11" s="70">
        <f t="shared" ref="G11" si="8">F11-E11</f>
        <v>20</v>
      </c>
      <c r="H11" s="71">
        <f t="shared" ref="H11" si="9">E11+G11/2</f>
        <v>40</v>
      </c>
      <c r="I11" s="65"/>
      <c r="J11" s="66"/>
      <c r="K11" s="65"/>
      <c r="L11" s="67"/>
      <c r="M11" s="63"/>
      <c r="N11" s="63"/>
      <c r="O11" s="64"/>
    </row>
    <row r="12" spans="1:15" x14ac:dyDescent="0.3">
      <c r="C12" s="1" t="s">
        <v>24</v>
      </c>
      <c r="D12" s="22" t="s">
        <v>28</v>
      </c>
      <c r="E12" s="51">
        <v>47</v>
      </c>
      <c r="F12" s="51">
        <v>57</v>
      </c>
      <c r="G12" s="5">
        <f t="shared" si="0"/>
        <v>10</v>
      </c>
      <c r="H12" s="23">
        <f t="shared" si="1"/>
        <v>52</v>
      </c>
      <c r="I12" s="24">
        <v>0</v>
      </c>
      <c r="J12" s="25">
        <f t="shared" si="2"/>
        <v>52</v>
      </c>
      <c r="K12" s="24">
        <f t="shared" si="3"/>
        <v>-52</v>
      </c>
      <c r="L12" s="4">
        <f t="shared" si="4"/>
        <v>-5</v>
      </c>
      <c r="M12" s="5">
        <f t="shared" si="5"/>
        <v>5</v>
      </c>
      <c r="N12" s="5">
        <f t="shared" si="6"/>
        <v>0</v>
      </c>
      <c r="O12" s="23">
        <f t="shared" si="7"/>
        <v>0</v>
      </c>
    </row>
    <row r="13" spans="1:15" s="36" customFormat="1" x14ac:dyDescent="0.3">
      <c r="A13" s="35"/>
      <c r="C13" s="35" t="s">
        <v>24</v>
      </c>
      <c r="D13" s="37" t="s">
        <v>29</v>
      </c>
      <c r="E13" s="46">
        <v>86</v>
      </c>
      <c r="F13" s="39">
        <v>96</v>
      </c>
      <c r="G13" s="40">
        <f t="shared" si="0"/>
        <v>10</v>
      </c>
      <c r="H13" s="41">
        <f t="shared" si="1"/>
        <v>91</v>
      </c>
      <c r="I13" s="42"/>
      <c r="J13" s="43">
        <f t="shared" si="2"/>
        <v>91</v>
      </c>
      <c r="K13" s="42">
        <f t="shared" si="3"/>
        <v>-91</v>
      </c>
      <c r="L13" s="44">
        <f t="shared" si="4"/>
        <v>-5</v>
      </c>
      <c r="M13" s="40">
        <f t="shared" si="5"/>
        <v>5</v>
      </c>
      <c r="N13" s="40">
        <f t="shared" si="6"/>
        <v>0</v>
      </c>
      <c r="O13" s="41">
        <f t="shared" si="7"/>
        <v>0</v>
      </c>
    </row>
    <row r="14" spans="1:15" s="36" customFormat="1" x14ac:dyDescent="0.3">
      <c r="A14" s="35"/>
      <c r="C14" s="35" t="s">
        <v>24</v>
      </c>
      <c r="D14" s="37" t="s">
        <v>30</v>
      </c>
      <c r="E14" s="39">
        <v>96</v>
      </c>
      <c r="F14" s="38">
        <v>106</v>
      </c>
      <c r="G14" s="40">
        <f t="shared" si="0"/>
        <v>10</v>
      </c>
      <c r="H14" s="41">
        <f t="shared" si="1"/>
        <v>101</v>
      </c>
      <c r="I14" s="42"/>
      <c r="J14" s="43">
        <f t="shared" si="2"/>
        <v>101</v>
      </c>
      <c r="K14" s="42">
        <f t="shared" si="3"/>
        <v>-101</v>
      </c>
      <c r="L14" s="44">
        <f t="shared" si="4"/>
        <v>-5</v>
      </c>
      <c r="M14" s="40">
        <f t="shared" si="5"/>
        <v>5</v>
      </c>
      <c r="N14" s="40">
        <f t="shared" si="6"/>
        <v>0</v>
      </c>
      <c r="O14" s="41">
        <f t="shared" si="7"/>
        <v>0</v>
      </c>
    </row>
    <row r="15" spans="1:15" x14ac:dyDescent="0.3">
      <c r="C15" s="1" t="s">
        <v>24</v>
      </c>
      <c r="D15" s="22" t="s">
        <v>31</v>
      </c>
      <c r="E15" s="50">
        <v>111</v>
      </c>
      <c r="F15" s="50">
        <v>113</v>
      </c>
      <c r="G15" s="5">
        <f t="shared" si="0"/>
        <v>2</v>
      </c>
      <c r="H15" s="23">
        <f t="shared" si="1"/>
        <v>112</v>
      </c>
      <c r="I15" s="24">
        <v>0</v>
      </c>
      <c r="J15" s="25">
        <f t="shared" si="2"/>
        <v>112</v>
      </c>
      <c r="K15" s="24">
        <f t="shared" si="3"/>
        <v>-112</v>
      </c>
      <c r="L15" s="4">
        <f t="shared" si="4"/>
        <v>-1</v>
      </c>
      <c r="M15" s="5">
        <f t="shared" si="5"/>
        <v>1</v>
      </c>
      <c r="N15" s="5">
        <f t="shared" si="6"/>
        <v>0</v>
      </c>
      <c r="O15" s="23">
        <f t="shared" si="7"/>
        <v>0</v>
      </c>
    </row>
    <row r="16" spans="1:15" x14ac:dyDescent="0.3">
      <c r="C16" s="1" t="s">
        <v>24</v>
      </c>
      <c r="D16" s="22" t="s">
        <v>32</v>
      </c>
      <c r="E16" s="52">
        <v>113</v>
      </c>
      <c r="F16" s="50">
        <v>123</v>
      </c>
      <c r="G16" s="5">
        <f t="shared" si="0"/>
        <v>10</v>
      </c>
      <c r="H16" s="23">
        <f t="shared" si="1"/>
        <v>118</v>
      </c>
      <c r="I16" s="24">
        <v>0</v>
      </c>
      <c r="J16" s="25">
        <f t="shared" si="2"/>
        <v>118</v>
      </c>
      <c r="K16" s="24">
        <f t="shared" si="3"/>
        <v>-118</v>
      </c>
      <c r="L16" s="4">
        <f t="shared" si="4"/>
        <v>-5</v>
      </c>
      <c r="M16" s="5">
        <f t="shared" si="5"/>
        <v>5</v>
      </c>
      <c r="N16" s="5">
        <f t="shared" si="6"/>
        <v>0</v>
      </c>
      <c r="O16" s="23">
        <f t="shared" si="7"/>
        <v>0</v>
      </c>
    </row>
    <row r="17" spans="1:50" s="36" customFormat="1" x14ac:dyDescent="0.3">
      <c r="A17" s="35"/>
      <c r="C17" s="35"/>
      <c r="D17" s="37" t="s">
        <v>115</v>
      </c>
      <c r="E17" s="45"/>
      <c r="F17" s="38"/>
      <c r="G17" s="40">
        <v>10</v>
      </c>
      <c r="H17" s="41"/>
      <c r="I17" s="42"/>
      <c r="J17" s="43">
        <f t="shared" si="2"/>
        <v>0</v>
      </c>
      <c r="K17" s="42"/>
      <c r="L17" s="44"/>
      <c r="M17" s="40"/>
      <c r="N17" s="40"/>
      <c r="O17" s="41"/>
    </row>
    <row r="18" spans="1:50" s="36" customFormat="1" x14ac:dyDescent="0.3">
      <c r="A18" s="35"/>
      <c r="C18" s="35" t="s">
        <v>24</v>
      </c>
      <c r="D18" s="37" t="s">
        <v>33</v>
      </c>
      <c r="E18" s="38">
        <v>185</v>
      </c>
      <c r="F18" s="38">
        <v>195</v>
      </c>
      <c r="G18" s="40">
        <f t="shared" si="0"/>
        <v>10</v>
      </c>
      <c r="H18" s="41">
        <f t="shared" si="1"/>
        <v>190</v>
      </c>
      <c r="I18" s="42"/>
      <c r="J18" s="43">
        <f t="shared" si="2"/>
        <v>190</v>
      </c>
      <c r="K18" s="42">
        <f t="shared" si="3"/>
        <v>-190</v>
      </c>
      <c r="L18" s="44">
        <f t="shared" si="4"/>
        <v>-5</v>
      </c>
      <c r="M18" s="40">
        <f t="shared" si="5"/>
        <v>5</v>
      </c>
      <c r="N18" s="40">
        <f t="shared" si="6"/>
        <v>0</v>
      </c>
      <c r="O18" s="41">
        <f t="shared" si="7"/>
        <v>0</v>
      </c>
    </row>
    <row r="19" spans="1:50" x14ac:dyDescent="0.3">
      <c r="C19" s="1" t="s">
        <v>24</v>
      </c>
      <c r="D19" s="22" t="s">
        <v>34</v>
      </c>
      <c r="E19" s="51">
        <v>195</v>
      </c>
      <c r="F19" s="51">
        <v>215</v>
      </c>
      <c r="G19" s="5">
        <f t="shared" si="0"/>
        <v>20</v>
      </c>
      <c r="H19" s="23">
        <f t="shared" si="1"/>
        <v>205</v>
      </c>
      <c r="I19" s="24">
        <v>0</v>
      </c>
      <c r="J19" s="25">
        <f t="shared" si="2"/>
        <v>205</v>
      </c>
      <c r="K19" s="24">
        <f t="shared" si="3"/>
        <v>-205</v>
      </c>
      <c r="L19" s="4">
        <f t="shared" si="4"/>
        <v>-10</v>
      </c>
      <c r="M19" s="5">
        <f t="shared" si="5"/>
        <v>10</v>
      </c>
      <c r="N19" s="5">
        <f t="shared" si="6"/>
        <v>0</v>
      </c>
      <c r="O19" s="23">
        <f t="shared" si="7"/>
        <v>0</v>
      </c>
    </row>
    <row r="20" spans="1:50" x14ac:dyDescent="0.3">
      <c r="C20" s="1" t="s">
        <v>24</v>
      </c>
      <c r="D20" s="22" t="s">
        <v>35</v>
      </c>
      <c r="E20" s="53">
        <v>210</v>
      </c>
      <c r="F20" s="51">
        <v>220</v>
      </c>
      <c r="G20" s="5">
        <f t="shared" si="0"/>
        <v>10</v>
      </c>
      <c r="H20" s="23">
        <f t="shared" si="1"/>
        <v>215</v>
      </c>
      <c r="I20" s="24">
        <v>0</v>
      </c>
      <c r="J20" s="25">
        <f t="shared" si="2"/>
        <v>215</v>
      </c>
      <c r="K20" s="24">
        <f t="shared" si="3"/>
        <v>-215</v>
      </c>
      <c r="L20" s="4">
        <f t="shared" si="4"/>
        <v>-5</v>
      </c>
      <c r="M20" s="5">
        <f t="shared" si="5"/>
        <v>5</v>
      </c>
      <c r="N20" s="5">
        <f t="shared" si="6"/>
        <v>0</v>
      </c>
      <c r="O20" s="23">
        <f t="shared" si="7"/>
        <v>0</v>
      </c>
    </row>
    <row r="21" spans="1:50" s="36" customFormat="1" x14ac:dyDescent="0.3">
      <c r="A21" s="35"/>
      <c r="C21" s="35" t="s">
        <v>24</v>
      </c>
      <c r="D21" s="37" t="s">
        <v>36</v>
      </c>
      <c r="E21" s="39">
        <v>250</v>
      </c>
      <c r="F21" s="39">
        <v>260</v>
      </c>
      <c r="G21" s="40">
        <f t="shared" si="0"/>
        <v>10</v>
      </c>
      <c r="H21" s="41">
        <f t="shared" si="1"/>
        <v>255</v>
      </c>
      <c r="I21" s="42"/>
      <c r="J21" s="43">
        <f t="shared" si="2"/>
        <v>255</v>
      </c>
      <c r="K21" s="42">
        <f t="shared" si="3"/>
        <v>-255</v>
      </c>
      <c r="L21" s="44">
        <f t="shared" si="4"/>
        <v>-5</v>
      </c>
      <c r="M21" s="40">
        <f t="shared" si="5"/>
        <v>5</v>
      </c>
      <c r="N21" s="40">
        <f t="shared" si="6"/>
        <v>0</v>
      </c>
      <c r="O21" s="41">
        <f t="shared" si="7"/>
        <v>0</v>
      </c>
    </row>
    <row r="22" spans="1:50" x14ac:dyDescent="0.3">
      <c r="C22" s="1" t="s">
        <v>24</v>
      </c>
      <c r="D22" s="22" t="s">
        <v>37</v>
      </c>
      <c r="E22" s="51">
        <v>257</v>
      </c>
      <c r="F22" s="51">
        <v>267</v>
      </c>
      <c r="G22" s="5">
        <f t="shared" si="0"/>
        <v>10</v>
      </c>
      <c r="H22" s="23">
        <f t="shared" si="1"/>
        <v>262</v>
      </c>
      <c r="I22" s="24">
        <v>0</v>
      </c>
      <c r="J22" s="25">
        <f t="shared" si="2"/>
        <v>262</v>
      </c>
      <c r="K22" s="24">
        <f t="shared" si="3"/>
        <v>-262</v>
      </c>
      <c r="L22" s="4">
        <f t="shared" si="4"/>
        <v>-5</v>
      </c>
      <c r="M22" s="5">
        <f t="shared" si="5"/>
        <v>5</v>
      </c>
      <c r="N22" s="5">
        <f t="shared" si="6"/>
        <v>0</v>
      </c>
      <c r="O22" s="23">
        <f t="shared" si="7"/>
        <v>0</v>
      </c>
    </row>
    <row r="23" spans="1:50" x14ac:dyDescent="0.3">
      <c r="C23" s="1" t="s">
        <v>24</v>
      </c>
      <c r="D23" s="22" t="s">
        <v>38</v>
      </c>
      <c r="E23" s="51">
        <v>265</v>
      </c>
      <c r="F23" s="51">
        <v>275</v>
      </c>
      <c r="G23" s="5">
        <f t="shared" si="0"/>
        <v>10</v>
      </c>
      <c r="H23" s="23">
        <f t="shared" si="1"/>
        <v>270</v>
      </c>
      <c r="I23" s="24">
        <v>0</v>
      </c>
      <c r="J23" s="25">
        <f t="shared" si="2"/>
        <v>270</v>
      </c>
      <c r="K23" s="24">
        <f t="shared" si="3"/>
        <v>-270</v>
      </c>
      <c r="L23" s="4">
        <f t="shared" si="4"/>
        <v>-5</v>
      </c>
      <c r="M23" s="5">
        <f t="shared" si="5"/>
        <v>5</v>
      </c>
      <c r="N23" s="5">
        <f t="shared" si="6"/>
        <v>0</v>
      </c>
      <c r="O23" s="23">
        <f t="shared" si="7"/>
        <v>0</v>
      </c>
    </row>
    <row r="24" spans="1:50" x14ac:dyDescent="0.3">
      <c r="C24" s="1" t="s">
        <v>24</v>
      </c>
      <c r="D24" s="22" t="s">
        <v>39</v>
      </c>
      <c r="E24" s="51">
        <v>275</v>
      </c>
      <c r="F24" s="51">
        <v>285</v>
      </c>
      <c r="G24" s="5">
        <f t="shared" si="0"/>
        <v>10</v>
      </c>
      <c r="H24" s="23">
        <f t="shared" si="1"/>
        <v>280</v>
      </c>
      <c r="I24" s="24">
        <v>0</v>
      </c>
      <c r="J24" s="25">
        <f t="shared" si="2"/>
        <v>280</v>
      </c>
      <c r="K24" s="24">
        <f t="shared" si="3"/>
        <v>-280</v>
      </c>
      <c r="L24" s="4">
        <f t="shared" si="4"/>
        <v>-5</v>
      </c>
      <c r="M24" s="5">
        <f t="shared" si="5"/>
        <v>5</v>
      </c>
      <c r="N24" s="5">
        <f t="shared" si="6"/>
        <v>0</v>
      </c>
      <c r="O24" s="23">
        <f t="shared" si="7"/>
        <v>0</v>
      </c>
    </row>
    <row r="25" spans="1:50" s="24" customFormat="1" x14ac:dyDescent="0.3">
      <c r="A25" s="1"/>
      <c r="B25"/>
      <c r="C25" s="1" t="s">
        <v>24</v>
      </c>
      <c r="D25" s="22" t="s">
        <v>40</v>
      </c>
      <c r="E25" s="51">
        <v>285</v>
      </c>
      <c r="F25" s="51">
        <v>295</v>
      </c>
      <c r="G25" s="5">
        <f t="shared" si="0"/>
        <v>10</v>
      </c>
      <c r="H25" s="23">
        <f t="shared" si="1"/>
        <v>290</v>
      </c>
      <c r="I25" s="24">
        <v>0</v>
      </c>
      <c r="J25" s="25">
        <f t="shared" si="2"/>
        <v>290</v>
      </c>
      <c r="K25" s="24">
        <f t="shared" si="3"/>
        <v>-290</v>
      </c>
      <c r="L25" s="4">
        <f t="shared" si="4"/>
        <v>-5</v>
      </c>
      <c r="M25" s="5">
        <f t="shared" si="5"/>
        <v>5</v>
      </c>
      <c r="N25" s="5">
        <f t="shared" si="6"/>
        <v>0</v>
      </c>
      <c r="O25" s="23">
        <f t="shared" si="7"/>
        <v>0</v>
      </c>
      <c r="P25" s="4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</row>
    <row r="26" spans="1:50" s="24" customFormat="1" x14ac:dyDescent="0.3">
      <c r="A26" s="1"/>
      <c r="B26"/>
      <c r="C26" s="1" t="s">
        <v>24</v>
      </c>
      <c r="D26" s="22" t="s">
        <v>41</v>
      </c>
      <c r="E26" s="51">
        <v>304</v>
      </c>
      <c r="F26" s="52">
        <v>314</v>
      </c>
      <c r="G26" s="5">
        <f t="shared" si="0"/>
        <v>10</v>
      </c>
      <c r="H26" s="23">
        <f t="shared" si="1"/>
        <v>309</v>
      </c>
      <c r="I26" s="24">
        <v>0</v>
      </c>
      <c r="J26" s="25">
        <f t="shared" si="2"/>
        <v>309</v>
      </c>
      <c r="K26" s="24">
        <f t="shared" si="3"/>
        <v>-309</v>
      </c>
      <c r="L26" s="4">
        <f t="shared" si="4"/>
        <v>-5</v>
      </c>
      <c r="M26" s="5">
        <f t="shared" si="5"/>
        <v>5</v>
      </c>
      <c r="N26" s="5">
        <f t="shared" si="6"/>
        <v>0</v>
      </c>
      <c r="O26" s="23">
        <f t="shared" si="7"/>
        <v>0</v>
      </c>
      <c r="P26" s="4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</row>
    <row r="27" spans="1:50" s="42" customFormat="1" x14ac:dyDescent="0.3">
      <c r="A27" s="35"/>
      <c r="B27" s="36"/>
      <c r="C27" s="35"/>
      <c r="D27" s="37" t="s">
        <v>116</v>
      </c>
      <c r="E27" s="39"/>
      <c r="F27" s="45"/>
      <c r="G27" s="40">
        <v>10</v>
      </c>
      <c r="H27" s="41"/>
      <c r="J27" s="43"/>
      <c r="L27" s="44"/>
      <c r="M27" s="40"/>
      <c r="N27" s="40"/>
      <c r="O27" s="41"/>
      <c r="P27" s="44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</row>
    <row r="28" spans="1:50" s="42" customFormat="1" x14ac:dyDescent="0.3">
      <c r="A28" s="35"/>
      <c r="B28" s="36"/>
      <c r="C28" s="35" t="s">
        <v>24</v>
      </c>
      <c r="D28" s="37" t="s">
        <v>42</v>
      </c>
      <c r="E28" s="45">
        <v>353</v>
      </c>
      <c r="F28" s="45">
        <v>363</v>
      </c>
      <c r="G28" s="40">
        <f t="shared" si="0"/>
        <v>10</v>
      </c>
      <c r="H28" s="41">
        <f t="shared" si="1"/>
        <v>358</v>
      </c>
      <c r="J28" s="43">
        <f t="shared" si="2"/>
        <v>358</v>
      </c>
      <c r="K28" s="42">
        <f t="shared" si="3"/>
        <v>-358</v>
      </c>
      <c r="L28" s="44">
        <f t="shared" si="4"/>
        <v>-5</v>
      </c>
      <c r="M28" s="40">
        <f t="shared" si="5"/>
        <v>5</v>
      </c>
      <c r="N28" s="40">
        <f t="shared" si="6"/>
        <v>0</v>
      </c>
      <c r="O28" s="41">
        <f t="shared" si="7"/>
        <v>0</v>
      </c>
      <c r="P28" s="44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</row>
    <row r="29" spans="1:50" s="65" customFormat="1" x14ac:dyDescent="0.3">
      <c r="A29" s="58"/>
      <c r="B29" s="59"/>
      <c r="C29" s="58"/>
      <c r="D29" s="60" t="s">
        <v>21</v>
      </c>
      <c r="E29" s="67">
        <v>355</v>
      </c>
      <c r="F29" s="63">
        <v>415</v>
      </c>
      <c r="G29" s="63">
        <f t="shared" ref="G29" si="10">F29-E29</f>
        <v>60</v>
      </c>
      <c r="H29" s="64">
        <f t="shared" ref="H29" si="11">E29+G29/2</f>
        <v>385</v>
      </c>
      <c r="J29" s="66"/>
      <c r="L29" s="67"/>
      <c r="M29" s="63"/>
      <c r="N29" s="63"/>
      <c r="O29" s="64"/>
      <c r="P29" s="67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</row>
    <row r="30" spans="1:50" s="24" customFormat="1" x14ac:dyDescent="0.3">
      <c r="A30" s="1"/>
      <c r="B30"/>
      <c r="C30" s="1" t="s">
        <v>24</v>
      </c>
      <c r="D30" s="22" t="s">
        <v>43</v>
      </c>
      <c r="E30" s="52">
        <v>366</v>
      </c>
      <c r="F30" s="52">
        <v>376</v>
      </c>
      <c r="G30" s="5">
        <f t="shared" si="0"/>
        <v>10</v>
      </c>
      <c r="H30" s="23">
        <f t="shared" si="1"/>
        <v>371</v>
      </c>
      <c r="I30" s="24">
        <v>0</v>
      </c>
      <c r="J30" s="25">
        <f t="shared" si="2"/>
        <v>371</v>
      </c>
      <c r="K30" s="24">
        <f t="shared" si="3"/>
        <v>-371</v>
      </c>
      <c r="L30" s="4">
        <f t="shared" si="4"/>
        <v>-5</v>
      </c>
      <c r="M30" s="5">
        <f t="shared" si="5"/>
        <v>5</v>
      </c>
      <c r="N30" s="5">
        <f t="shared" si="6"/>
        <v>0</v>
      </c>
      <c r="O30" s="23">
        <f t="shared" si="7"/>
        <v>0</v>
      </c>
      <c r="P30" s="4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</row>
    <row r="31" spans="1:50" s="24" customFormat="1" x14ac:dyDescent="0.3">
      <c r="A31" s="1"/>
      <c r="B31"/>
      <c r="C31" s="1" t="s">
        <v>24</v>
      </c>
      <c r="D31" s="22" t="s">
        <v>44</v>
      </c>
      <c r="E31" s="52">
        <v>375</v>
      </c>
      <c r="F31" s="52">
        <v>385</v>
      </c>
      <c r="G31" s="5">
        <f t="shared" si="0"/>
        <v>10</v>
      </c>
      <c r="H31" s="23">
        <f t="shared" si="1"/>
        <v>380</v>
      </c>
      <c r="I31" s="24">
        <v>0</v>
      </c>
      <c r="J31" s="25">
        <f t="shared" si="2"/>
        <v>380</v>
      </c>
      <c r="K31" s="24">
        <f t="shared" si="3"/>
        <v>-380</v>
      </c>
      <c r="L31" s="4">
        <f t="shared" si="4"/>
        <v>-5</v>
      </c>
      <c r="M31" s="5">
        <f t="shared" si="5"/>
        <v>5</v>
      </c>
      <c r="N31" s="5">
        <f t="shared" si="6"/>
        <v>0</v>
      </c>
      <c r="O31" s="23">
        <f t="shared" si="7"/>
        <v>0</v>
      </c>
      <c r="P31" s="4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</row>
    <row r="32" spans="1:50" s="42" customFormat="1" x14ac:dyDescent="0.3">
      <c r="A32" s="35"/>
      <c r="B32" s="36"/>
      <c r="C32" s="35" t="s">
        <v>24</v>
      </c>
      <c r="D32" s="37" t="s">
        <v>45</v>
      </c>
      <c r="E32" s="38">
        <v>429</v>
      </c>
      <c r="F32" s="45">
        <v>439</v>
      </c>
      <c r="G32" s="40">
        <f t="shared" si="0"/>
        <v>10</v>
      </c>
      <c r="H32" s="41">
        <f t="shared" si="1"/>
        <v>434</v>
      </c>
      <c r="J32" s="43">
        <f t="shared" si="2"/>
        <v>434</v>
      </c>
      <c r="K32" s="42">
        <f t="shared" si="3"/>
        <v>-434</v>
      </c>
      <c r="L32" s="44">
        <f t="shared" si="4"/>
        <v>-5</v>
      </c>
      <c r="M32" s="40">
        <f t="shared" si="5"/>
        <v>5</v>
      </c>
      <c r="N32" s="40">
        <f t="shared" si="6"/>
        <v>0</v>
      </c>
      <c r="O32" s="41">
        <f t="shared" si="7"/>
        <v>0</v>
      </c>
      <c r="P32" s="44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</row>
    <row r="33" spans="1:50" s="24" customFormat="1" x14ac:dyDescent="0.3">
      <c r="A33" s="1"/>
      <c r="B33"/>
      <c r="C33" s="1" t="s">
        <v>24</v>
      </c>
      <c r="D33" s="22" t="s">
        <v>46</v>
      </c>
      <c r="E33" s="50">
        <v>451</v>
      </c>
      <c r="F33" s="50">
        <v>461</v>
      </c>
      <c r="G33" s="5">
        <f t="shared" si="0"/>
        <v>10</v>
      </c>
      <c r="H33" s="23">
        <f t="shared" si="1"/>
        <v>456</v>
      </c>
      <c r="I33" s="24">
        <v>0</v>
      </c>
      <c r="J33" s="25">
        <f t="shared" si="2"/>
        <v>456</v>
      </c>
      <c r="K33" s="24">
        <f t="shared" si="3"/>
        <v>-456</v>
      </c>
      <c r="L33" s="4">
        <f t="shared" si="4"/>
        <v>-5</v>
      </c>
      <c r="M33" s="5">
        <f t="shared" si="5"/>
        <v>5</v>
      </c>
      <c r="N33" s="5">
        <f t="shared" si="6"/>
        <v>0</v>
      </c>
      <c r="O33" s="23">
        <f t="shared" si="7"/>
        <v>0</v>
      </c>
      <c r="P33" s="4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</row>
    <row r="34" spans="1:50" s="24" customFormat="1" x14ac:dyDescent="0.3">
      <c r="A34" s="1"/>
      <c r="B34"/>
      <c r="C34" s="1" t="s">
        <v>24</v>
      </c>
      <c r="D34" s="22" t="s">
        <v>47</v>
      </c>
      <c r="E34" s="50">
        <v>467</v>
      </c>
      <c r="F34" s="50">
        <v>477</v>
      </c>
      <c r="G34" s="5">
        <f t="shared" si="0"/>
        <v>10</v>
      </c>
      <c r="H34" s="23">
        <f t="shared" si="1"/>
        <v>472</v>
      </c>
      <c r="I34" s="24">
        <v>0</v>
      </c>
      <c r="J34" s="25">
        <f t="shared" si="2"/>
        <v>472</v>
      </c>
      <c r="K34" s="24">
        <f t="shared" si="3"/>
        <v>-472</v>
      </c>
      <c r="L34" s="4">
        <f t="shared" si="4"/>
        <v>-5</v>
      </c>
      <c r="M34" s="5">
        <f t="shared" si="5"/>
        <v>5</v>
      </c>
      <c r="N34" s="5">
        <f t="shared" si="6"/>
        <v>0</v>
      </c>
      <c r="O34" s="23">
        <f t="shared" si="7"/>
        <v>0</v>
      </c>
      <c r="P34" s="4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</row>
    <row r="35" spans="1:50" s="42" customFormat="1" x14ac:dyDescent="0.3">
      <c r="A35" s="35"/>
      <c r="B35" s="36"/>
      <c r="C35" s="35" t="s">
        <v>24</v>
      </c>
      <c r="D35" s="37" t="s">
        <v>48</v>
      </c>
      <c r="E35" s="45">
        <v>473</v>
      </c>
      <c r="F35" s="45">
        <v>483</v>
      </c>
      <c r="G35" s="40">
        <f t="shared" si="0"/>
        <v>10</v>
      </c>
      <c r="H35" s="41">
        <f t="shared" si="1"/>
        <v>478</v>
      </c>
      <c r="J35" s="43">
        <f t="shared" si="2"/>
        <v>478</v>
      </c>
      <c r="K35" s="42">
        <f t="shared" si="3"/>
        <v>-478</v>
      </c>
      <c r="L35" s="44">
        <f t="shared" si="4"/>
        <v>-5</v>
      </c>
      <c r="M35" s="40">
        <f t="shared" si="5"/>
        <v>5</v>
      </c>
      <c r="N35" s="40">
        <f t="shared" si="6"/>
        <v>0</v>
      </c>
      <c r="O35" s="41">
        <f t="shared" si="7"/>
        <v>0</v>
      </c>
      <c r="P35" s="44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</row>
    <row r="36" spans="1:50" s="42" customFormat="1" x14ac:dyDescent="0.3">
      <c r="A36" s="35"/>
      <c r="B36" s="36"/>
      <c r="C36" s="35" t="s">
        <v>24</v>
      </c>
      <c r="D36" s="37" t="s">
        <v>49</v>
      </c>
      <c r="E36" s="39">
        <v>503</v>
      </c>
      <c r="F36" s="39">
        <v>513</v>
      </c>
      <c r="G36" s="40">
        <f t="shared" si="0"/>
        <v>10</v>
      </c>
      <c r="H36" s="41">
        <f t="shared" si="1"/>
        <v>508</v>
      </c>
      <c r="J36" s="43">
        <f t="shared" si="2"/>
        <v>508</v>
      </c>
      <c r="K36" s="42">
        <f t="shared" si="3"/>
        <v>-508</v>
      </c>
      <c r="L36" s="44">
        <f t="shared" si="4"/>
        <v>-5</v>
      </c>
      <c r="M36" s="40">
        <f t="shared" si="5"/>
        <v>5</v>
      </c>
      <c r="N36" s="40">
        <f t="shared" si="6"/>
        <v>0</v>
      </c>
      <c r="O36" s="41">
        <f t="shared" si="7"/>
        <v>0</v>
      </c>
      <c r="P36" s="44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</row>
    <row r="37" spans="1:50" s="65" customFormat="1" x14ac:dyDescent="0.3">
      <c r="A37" s="58"/>
      <c r="B37" s="59"/>
      <c r="C37" s="58" t="s">
        <v>24</v>
      </c>
      <c r="D37" s="60" t="s">
        <v>22</v>
      </c>
      <c r="E37" s="68">
        <v>562</v>
      </c>
      <c r="F37" s="68">
        <v>582</v>
      </c>
      <c r="G37" s="63">
        <f t="shared" si="0"/>
        <v>20</v>
      </c>
      <c r="H37" s="64">
        <f t="shared" si="1"/>
        <v>572</v>
      </c>
      <c r="J37" s="66">
        <f t="shared" si="2"/>
        <v>572</v>
      </c>
      <c r="K37" s="65">
        <f t="shared" si="3"/>
        <v>-572</v>
      </c>
      <c r="L37" s="67">
        <f t="shared" si="4"/>
        <v>-10</v>
      </c>
      <c r="M37" s="63">
        <f t="shared" si="5"/>
        <v>10</v>
      </c>
      <c r="N37" s="63">
        <f t="shared" si="6"/>
        <v>0</v>
      </c>
      <c r="O37" s="64">
        <f t="shared" si="7"/>
        <v>0</v>
      </c>
      <c r="P37" s="67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63"/>
      <c r="AU37" s="63"/>
      <c r="AV37" s="63"/>
      <c r="AW37" s="63"/>
      <c r="AX37" s="63"/>
    </row>
    <row r="38" spans="1:50" s="42" customFormat="1" x14ac:dyDescent="0.3">
      <c r="A38" s="35"/>
      <c r="B38" s="36"/>
      <c r="C38" s="35" t="s">
        <v>24</v>
      </c>
      <c r="D38" s="37" t="s">
        <v>50</v>
      </c>
      <c r="E38" s="39">
        <v>582</v>
      </c>
      <c r="F38" s="39">
        <v>602</v>
      </c>
      <c r="G38" s="40">
        <f t="shared" si="0"/>
        <v>20</v>
      </c>
      <c r="H38" s="41">
        <f t="shared" si="1"/>
        <v>592</v>
      </c>
      <c r="J38" s="43">
        <f t="shared" si="2"/>
        <v>592</v>
      </c>
      <c r="K38" s="42">
        <f t="shared" si="3"/>
        <v>-592</v>
      </c>
      <c r="L38" s="44">
        <f t="shared" si="4"/>
        <v>-10</v>
      </c>
      <c r="M38" s="40">
        <f t="shared" si="5"/>
        <v>10</v>
      </c>
      <c r="N38" s="40">
        <f t="shared" si="6"/>
        <v>0</v>
      </c>
      <c r="O38" s="41">
        <f t="shared" si="7"/>
        <v>0</v>
      </c>
      <c r="P38" s="44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</row>
    <row r="39" spans="1:50" s="42" customFormat="1" x14ac:dyDescent="0.3">
      <c r="A39" s="35"/>
      <c r="B39" s="36"/>
      <c r="C39" s="35" t="s">
        <v>24</v>
      </c>
      <c r="D39" s="37" t="s">
        <v>51</v>
      </c>
      <c r="E39" s="39">
        <v>602</v>
      </c>
      <c r="F39" s="39">
        <v>622</v>
      </c>
      <c r="G39" s="40">
        <f t="shared" si="0"/>
        <v>20</v>
      </c>
      <c r="H39" s="41">
        <f t="shared" si="1"/>
        <v>612</v>
      </c>
      <c r="J39" s="43">
        <f t="shared" si="2"/>
        <v>612</v>
      </c>
      <c r="K39" s="42">
        <f t="shared" si="3"/>
        <v>-612</v>
      </c>
      <c r="L39" s="44">
        <f t="shared" si="4"/>
        <v>-10</v>
      </c>
      <c r="M39" s="40">
        <f t="shared" si="5"/>
        <v>10</v>
      </c>
      <c r="N39" s="40">
        <f t="shared" si="6"/>
        <v>0</v>
      </c>
      <c r="O39" s="41">
        <f t="shared" si="7"/>
        <v>0</v>
      </c>
      <c r="P39" s="44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</row>
    <row r="40" spans="1:50" s="24" customFormat="1" x14ac:dyDescent="0.3">
      <c r="A40" s="1"/>
      <c r="B40"/>
      <c r="C40" s="1" t="s">
        <v>24</v>
      </c>
      <c r="D40" s="22" t="s">
        <v>52</v>
      </c>
      <c r="E40" s="51">
        <v>640</v>
      </c>
      <c r="F40" s="51">
        <v>650</v>
      </c>
      <c r="G40" s="5">
        <f t="shared" si="0"/>
        <v>10</v>
      </c>
      <c r="H40" s="23">
        <f t="shared" si="1"/>
        <v>645</v>
      </c>
      <c r="I40" s="24">
        <v>0</v>
      </c>
      <c r="J40" s="25">
        <f t="shared" si="2"/>
        <v>645</v>
      </c>
      <c r="K40" s="24">
        <f t="shared" si="3"/>
        <v>-645</v>
      </c>
      <c r="L40" s="4">
        <f t="shared" si="4"/>
        <v>-5</v>
      </c>
      <c r="M40" s="5">
        <f t="shared" si="5"/>
        <v>5</v>
      </c>
      <c r="N40" s="5">
        <f t="shared" si="6"/>
        <v>0</v>
      </c>
      <c r="O40" s="23">
        <f t="shared" si="7"/>
        <v>0</v>
      </c>
      <c r="P40" s="4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</row>
    <row r="41" spans="1:50" s="24" customFormat="1" x14ac:dyDescent="0.3">
      <c r="A41" s="1"/>
      <c r="B41"/>
      <c r="C41" s="1" t="s">
        <v>24</v>
      </c>
      <c r="D41" s="22" t="s">
        <v>53</v>
      </c>
      <c r="E41" s="51">
        <v>681</v>
      </c>
      <c r="F41" s="51">
        <v>691</v>
      </c>
      <c r="G41" s="5">
        <f t="shared" si="0"/>
        <v>10</v>
      </c>
      <c r="H41" s="23">
        <f t="shared" si="1"/>
        <v>686</v>
      </c>
      <c r="I41" s="24">
        <v>0</v>
      </c>
      <c r="J41" s="25">
        <f t="shared" si="2"/>
        <v>686</v>
      </c>
      <c r="K41" s="24">
        <f t="shared" si="3"/>
        <v>-686</v>
      </c>
      <c r="L41" s="4">
        <f t="shared" si="4"/>
        <v>-5</v>
      </c>
      <c r="M41" s="5">
        <f t="shared" si="5"/>
        <v>5</v>
      </c>
      <c r="N41" s="5">
        <f t="shared" si="6"/>
        <v>0</v>
      </c>
      <c r="O41" s="23">
        <f t="shared" si="7"/>
        <v>0</v>
      </c>
      <c r="P41" s="4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</row>
    <row r="42" spans="1:50" s="42" customFormat="1" x14ac:dyDescent="0.3">
      <c r="A42" s="35"/>
      <c r="B42" s="36"/>
      <c r="C42" s="35" t="s">
        <v>24</v>
      </c>
      <c r="D42" s="37" t="s">
        <v>54</v>
      </c>
      <c r="E42" s="39">
        <v>699</v>
      </c>
      <c r="F42" s="39">
        <v>709</v>
      </c>
      <c r="G42" s="40">
        <f t="shared" si="0"/>
        <v>10</v>
      </c>
      <c r="H42" s="41">
        <f t="shared" si="1"/>
        <v>704</v>
      </c>
      <c r="J42" s="43">
        <f t="shared" si="2"/>
        <v>704</v>
      </c>
      <c r="K42" s="42">
        <f t="shared" si="3"/>
        <v>-704</v>
      </c>
      <c r="L42" s="44">
        <f t="shared" si="4"/>
        <v>-5</v>
      </c>
      <c r="M42" s="40">
        <f t="shared" si="5"/>
        <v>5</v>
      </c>
      <c r="N42" s="40">
        <f t="shared" si="6"/>
        <v>0</v>
      </c>
      <c r="O42" s="41">
        <f t="shared" si="7"/>
        <v>0</v>
      </c>
      <c r="P42" s="44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</row>
    <row r="43" spans="1:50" s="24" customFormat="1" x14ac:dyDescent="0.3">
      <c r="A43" s="1"/>
      <c r="B43"/>
      <c r="C43" s="1" t="s">
        <v>24</v>
      </c>
      <c r="D43" s="22" t="s">
        <v>55</v>
      </c>
      <c r="E43" s="51">
        <v>709</v>
      </c>
      <c r="F43" s="51">
        <v>712</v>
      </c>
      <c r="G43" s="5">
        <f t="shared" si="0"/>
        <v>3</v>
      </c>
      <c r="H43" s="23">
        <f t="shared" si="1"/>
        <v>710.5</v>
      </c>
      <c r="I43" s="24">
        <v>0</v>
      </c>
      <c r="J43" s="25">
        <f t="shared" si="2"/>
        <v>710.5</v>
      </c>
      <c r="K43" s="24">
        <f t="shared" si="3"/>
        <v>-711</v>
      </c>
      <c r="L43" s="4">
        <f t="shared" si="4"/>
        <v>-2</v>
      </c>
      <c r="M43" s="5">
        <f t="shared" si="5"/>
        <v>1</v>
      </c>
      <c r="N43" s="5">
        <f t="shared" si="6"/>
        <v>-0.5</v>
      </c>
      <c r="O43" s="23">
        <f t="shared" si="7"/>
        <v>-0.5</v>
      </c>
      <c r="P43" s="4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</row>
    <row r="44" spans="1:50" s="24" customFormat="1" x14ac:dyDescent="0.3">
      <c r="A44" s="1"/>
      <c r="B44"/>
      <c r="C44" s="1" t="s">
        <v>24</v>
      </c>
      <c r="D44" s="22" t="s">
        <v>56</v>
      </c>
      <c r="E44" s="51">
        <v>726</v>
      </c>
      <c r="F44" s="51">
        <v>737</v>
      </c>
      <c r="G44" s="5">
        <f t="shared" si="0"/>
        <v>11</v>
      </c>
      <c r="H44" s="23">
        <f t="shared" si="1"/>
        <v>731.5</v>
      </c>
      <c r="I44" s="24">
        <v>0</v>
      </c>
      <c r="J44" s="25">
        <f t="shared" si="2"/>
        <v>731.5</v>
      </c>
      <c r="K44" s="24">
        <f t="shared" si="3"/>
        <v>-732</v>
      </c>
      <c r="L44" s="4">
        <f t="shared" si="4"/>
        <v>-6</v>
      </c>
      <c r="M44" s="5">
        <f t="shared" si="5"/>
        <v>5</v>
      </c>
      <c r="N44" s="5">
        <f t="shared" si="6"/>
        <v>-0.5</v>
      </c>
      <c r="O44" s="23">
        <f t="shared" si="7"/>
        <v>-0.5</v>
      </c>
      <c r="P44" s="4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</row>
    <row r="45" spans="1:50" s="24" customFormat="1" x14ac:dyDescent="0.3">
      <c r="A45" s="1"/>
      <c r="B45"/>
      <c r="C45" s="1" t="s">
        <v>24</v>
      </c>
      <c r="D45" s="22" t="s">
        <v>57</v>
      </c>
      <c r="E45" s="54">
        <v>736</v>
      </c>
      <c r="F45" s="52">
        <v>745</v>
      </c>
      <c r="G45" s="5">
        <f t="shared" si="0"/>
        <v>9</v>
      </c>
      <c r="H45" s="23">
        <f t="shared" si="1"/>
        <v>740.5</v>
      </c>
      <c r="I45" s="24">
        <v>0</v>
      </c>
      <c r="J45" s="25">
        <f t="shared" si="2"/>
        <v>740.5</v>
      </c>
      <c r="K45" s="24">
        <f t="shared" si="3"/>
        <v>-741</v>
      </c>
      <c r="L45" s="4">
        <f t="shared" si="4"/>
        <v>-5</v>
      </c>
      <c r="M45" s="5">
        <f t="shared" si="5"/>
        <v>4</v>
      </c>
      <c r="N45" s="5">
        <f t="shared" si="6"/>
        <v>-0.5</v>
      </c>
      <c r="O45" s="23">
        <f t="shared" si="7"/>
        <v>-0.5</v>
      </c>
      <c r="P45" s="4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</row>
    <row r="46" spans="1:50" s="24" customFormat="1" x14ac:dyDescent="0.3">
      <c r="A46" s="1"/>
      <c r="B46"/>
      <c r="C46" s="1" t="s">
        <v>24</v>
      </c>
      <c r="D46" s="22" t="s">
        <v>58</v>
      </c>
      <c r="E46" s="55">
        <v>740</v>
      </c>
      <c r="F46" s="55">
        <v>750</v>
      </c>
      <c r="G46" s="5">
        <f t="shared" si="0"/>
        <v>10</v>
      </c>
      <c r="H46" s="23">
        <f t="shared" si="1"/>
        <v>745</v>
      </c>
      <c r="I46" s="24">
        <v>0</v>
      </c>
      <c r="J46" s="25">
        <f t="shared" si="2"/>
        <v>745</v>
      </c>
      <c r="K46" s="24">
        <f t="shared" si="3"/>
        <v>-745</v>
      </c>
      <c r="L46" s="4">
        <f t="shared" si="4"/>
        <v>-5</v>
      </c>
      <c r="M46" s="5">
        <f t="shared" si="5"/>
        <v>5</v>
      </c>
      <c r="N46" s="5">
        <f t="shared" si="6"/>
        <v>0</v>
      </c>
      <c r="O46" s="23">
        <f t="shared" si="7"/>
        <v>0</v>
      </c>
      <c r="P46" s="4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</row>
    <row r="47" spans="1:50" s="24" customFormat="1" x14ac:dyDescent="0.3">
      <c r="A47" s="1"/>
      <c r="B47"/>
      <c r="C47" s="1" t="s">
        <v>24</v>
      </c>
      <c r="D47" s="22" t="s">
        <v>59</v>
      </c>
      <c r="E47" s="55">
        <v>745</v>
      </c>
      <c r="F47" s="55">
        <v>750</v>
      </c>
      <c r="G47" s="5">
        <f t="shared" si="0"/>
        <v>5</v>
      </c>
      <c r="H47" s="23">
        <f t="shared" si="1"/>
        <v>747.5</v>
      </c>
      <c r="I47" s="24">
        <v>0</v>
      </c>
      <c r="J47" s="25">
        <f t="shared" si="2"/>
        <v>747.5</v>
      </c>
      <c r="K47" s="24">
        <f t="shared" si="3"/>
        <v>-748</v>
      </c>
      <c r="L47" s="4">
        <f t="shared" si="4"/>
        <v>-3</v>
      </c>
      <c r="M47" s="5">
        <f t="shared" si="5"/>
        <v>2</v>
      </c>
      <c r="N47" s="5">
        <f t="shared" si="6"/>
        <v>-0.5</v>
      </c>
      <c r="O47" s="23">
        <f t="shared" si="7"/>
        <v>-0.5</v>
      </c>
      <c r="P47" s="4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</row>
    <row r="48" spans="1:50" s="24" customFormat="1" x14ac:dyDescent="0.3">
      <c r="A48" s="1"/>
      <c r="B48"/>
      <c r="C48" s="1" t="s">
        <v>24</v>
      </c>
      <c r="D48" s="22" t="s">
        <v>60</v>
      </c>
      <c r="E48" s="55">
        <v>776</v>
      </c>
      <c r="F48" s="55">
        <v>786</v>
      </c>
      <c r="G48" s="5">
        <f t="shared" si="0"/>
        <v>10</v>
      </c>
      <c r="H48" s="23">
        <f t="shared" si="1"/>
        <v>781</v>
      </c>
      <c r="I48" s="24">
        <v>0</v>
      </c>
      <c r="J48" s="25">
        <f t="shared" si="2"/>
        <v>781</v>
      </c>
      <c r="K48" s="24">
        <f t="shared" si="3"/>
        <v>-781</v>
      </c>
      <c r="L48" s="4">
        <f t="shared" si="4"/>
        <v>-5</v>
      </c>
      <c r="M48" s="5">
        <f t="shared" si="5"/>
        <v>5</v>
      </c>
      <c r="N48" s="5">
        <f t="shared" si="6"/>
        <v>0</v>
      </c>
      <c r="O48" s="23">
        <f t="shared" si="7"/>
        <v>0</v>
      </c>
      <c r="P48" s="4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</row>
    <row r="49" spans="1:50" s="42" customFormat="1" x14ac:dyDescent="0.3">
      <c r="A49" s="35"/>
      <c r="B49" s="36"/>
      <c r="C49" s="35" t="s">
        <v>24</v>
      </c>
      <c r="D49" s="37" t="s">
        <v>61</v>
      </c>
      <c r="E49" s="47">
        <v>786</v>
      </c>
      <c r="F49" s="47">
        <v>798</v>
      </c>
      <c r="G49" s="40">
        <f t="shared" si="0"/>
        <v>12</v>
      </c>
      <c r="H49" s="41">
        <f t="shared" si="1"/>
        <v>792</v>
      </c>
      <c r="J49" s="43">
        <f t="shared" si="2"/>
        <v>792</v>
      </c>
      <c r="K49" s="42">
        <f t="shared" si="3"/>
        <v>-792</v>
      </c>
      <c r="L49" s="44">
        <f t="shared" si="4"/>
        <v>-6</v>
      </c>
      <c r="M49" s="40">
        <f t="shared" si="5"/>
        <v>6</v>
      </c>
      <c r="N49" s="40">
        <f t="shared" si="6"/>
        <v>0</v>
      </c>
      <c r="O49" s="41">
        <f t="shared" si="7"/>
        <v>0</v>
      </c>
      <c r="P49" s="44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</row>
    <row r="50" spans="1:50" s="24" customFormat="1" x14ac:dyDescent="0.3">
      <c r="A50" s="1"/>
      <c r="B50"/>
      <c r="C50" s="1" t="s">
        <v>24</v>
      </c>
      <c r="D50" s="22" t="s">
        <v>62</v>
      </c>
      <c r="E50" s="55">
        <v>876</v>
      </c>
      <c r="F50" s="52">
        <v>888</v>
      </c>
      <c r="G50" s="5">
        <f t="shared" si="0"/>
        <v>12</v>
      </c>
      <c r="H50" s="23">
        <f t="shared" si="1"/>
        <v>882</v>
      </c>
      <c r="I50" s="24">
        <v>0</v>
      </c>
      <c r="J50" s="25">
        <f t="shared" si="2"/>
        <v>882</v>
      </c>
      <c r="K50" s="24">
        <f t="shared" si="3"/>
        <v>-882</v>
      </c>
      <c r="L50" s="4">
        <f t="shared" si="4"/>
        <v>-6</v>
      </c>
      <c r="M50" s="5">
        <f t="shared" si="5"/>
        <v>6</v>
      </c>
      <c r="N50" s="5">
        <f t="shared" si="6"/>
        <v>0</v>
      </c>
      <c r="O50" s="23">
        <f t="shared" si="7"/>
        <v>0</v>
      </c>
      <c r="P50" s="4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</row>
    <row r="51" spans="1:50" s="24" customFormat="1" x14ac:dyDescent="0.3">
      <c r="A51" s="1"/>
      <c r="B51"/>
      <c r="C51" s="1" t="s">
        <v>24</v>
      </c>
      <c r="D51" s="22" t="s">
        <v>63</v>
      </c>
      <c r="E51" s="55">
        <v>884</v>
      </c>
      <c r="F51" s="55">
        <v>894</v>
      </c>
      <c r="G51" s="5">
        <f t="shared" si="0"/>
        <v>10</v>
      </c>
      <c r="H51" s="23">
        <f t="shared" si="1"/>
        <v>889</v>
      </c>
      <c r="I51" s="24">
        <v>0</v>
      </c>
      <c r="J51" s="25">
        <f t="shared" si="2"/>
        <v>889</v>
      </c>
      <c r="K51" s="24">
        <f t="shared" si="3"/>
        <v>-889</v>
      </c>
      <c r="L51" s="4">
        <f t="shared" si="4"/>
        <v>-5</v>
      </c>
      <c r="M51" s="5">
        <f t="shared" si="5"/>
        <v>5</v>
      </c>
      <c r="N51" s="5">
        <f t="shared" si="6"/>
        <v>0</v>
      </c>
      <c r="O51" s="23">
        <f t="shared" si="7"/>
        <v>0</v>
      </c>
      <c r="P51" s="4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</row>
    <row r="52" spans="1:50" s="42" customFormat="1" x14ac:dyDescent="0.3">
      <c r="A52" s="35"/>
      <c r="B52" s="36"/>
      <c r="C52" s="35" t="s">
        <v>24</v>
      </c>
      <c r="D52" s="37" t="s">
        <v>64</v>
      </c>
      <c r="E52" s="47">
        <v>886</v>
      </c>
      <c r="F52" s="47">
        <v>890</v>
      </c>
      <c r="G52" s="40">
        <f t="shared" si="0"/>
        <v>4</v>
      </c>
      <c r="H52" s="41">
        <f t="shared" si="1"/>
        <v>888</v>
      </c>
      <c r="J52" s="43">
        <f t="shared" si="2"/>
        <v>888</v>
      </c>
      <c r="K52" s="42">
        <f t="shared" si="3"/>
        <v>-888</v>
      </c>
      <c r="L52" s="44">
        <f t="shared" si="4"/>
        <v>-2</v>
      </c>
      <c r="M52" s="40">
        <f t="shared" si="5"/>
        <v>2</v>
      </c>
      <c r="N52" s="40">
        <f t="shared" si="6"/>
        <v>0</v>
      </c>
      <c r="O52" s="41">
        <f t="shared" si="7"/>
        <v>0</v>
      </c>
      <c r="P52" s="44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</row>
    <row r="53" spans="1:50" s="24" customFormat="1" x14ac:dyDescent="0.3">
      <c r="A53" s="1"/>
      <c r="B53"/>
      <c r="C53" s="1" t="s">
        <v>24</v>
      </c>
      <c r="D53" s="22" t="s">
        <v>65</v>
      </c>
      <c r="E53" s="55">
        <v>954</v>
      </c>
      <c r="F53" s="55">
        <v>970</v>
      </c>
      <c r="G53" s="5">
        <f t="shared" si="0"/>
        <v>16</v>
      </c>
      <c r="H53" s="23">
        <f t="shared" si="1"/>
        <v>962</v>
      </c>
      <c r="I53" s="24">
        <v>0</v>
      </c>
      <c r="J53" s="25">
        <f t="shared" si="2"/>
        <v>962</v>
      </c>
      <c r="K53" s="24">
        <f t="shared" si="3"/>
        <v>-962</v>
      </c>
      <c r="L53" s="4">
        <f t="shared" si="4"/>
        <v>-8</v>
      </c>
      <c r="M53" s="5">
        <f t="shared" si="5"/>
        <v>8</v>
      </c>
      <c r="N53" s="5">
        <f t="shared" si="6"/>
        <v>0</v>
      </c>
      <c r="O53" s="23">
        <f t="shared" si="7"/>
        <v>0</v>
      </c>
      <c r="P53" s="4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</row>
    <row r="54" spans="1:50" s="24" customFormat="1" x14ac:dyDescent="0.3">
      <c r="A54" s="1"/>
      <c r="B54"/>
      <c r="C54" s="1" t="s">
        <v>24</v>
      </c>
      <c r="D54" s="22" t="s">
        <v>66</v>
      </c>
      <c r="E54" s="55">
        <v>976</v>
      </c>
      <c r="F54" s="55">
        <v>992</v>
      </c>
      <c r="G54" s="5">
        <f t="shared" si="0"/>
        <v>16</v>
      </c>
      <c r="H54" s="23">
        <f t="shared" si="1"/>
        <v>984</v>
      </c>
      <c r="I54" s="24">
        <v>0</v>
      </c>
      <c r="J54" s="25">
        <f t="shared" si="2"/>
        <v>984</v>
      </c>
      <c r="K54" s="24">
        <f t="shared" si="3"/>
        <v>-984</v>
      </c>
      <c r="L54" s="4">
        <f t="shared" si="4"/>
        <v>-8</v>
      </c>
      <c r="M54" s="5">
        <f t="shared" si="5"/>
        <v>8</v>
      </c>
      <c r="N54" s="5">
        <f t="shared" si="6"/>
        <v>0</v>
      </c>
      <c r="O54" s="23">
        <f t="shared" si="7"/>
        <v>0</v>
      </c>
      <c r="P54" s="4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</row>
    <row r="55" spans="1:50" s="24" customFormat="1" x14ac:dyDescent="0.3">
      <c r="A55" s="1"/>
      <c r="B55"/>
      <c r="C55" s="1" t="s">
        <v>24</v>
      </c>
      <c r="D55" s="22" t="s">
        <v>67</v>
      </c>
      <c r="E55" s="55">
        <v>990</v>
      </c>
      <c r="F55" s="55">
        <v>1010</v>
      </c>
      <c r="G55" s="5">
        <f t="shared" si="0"/>
        <v>20</v>
      </c>
      <c r="H55" s="23">
        <f t="shared" si="1"/>
        <v>1000</v>
      </c>
      <c r="I55" s="24">
        <v>0</v>
      </c>
      <c r="J55" s="25">
        <f t="shared" si="2"/>
        <v>1000</v>
      </c>
      <c r="K55" s="24">
        <f t="shared" si="3"/>
        <v>-1000</v>
      </c>
      <c r="L55" s="4">
        <f t="shared" si="4"/>
        <v>-10</v>
      </c>
      <c r="M55" s="5">
        <f t="shared" si="5"/>
        <v>10</v>
      </c>
      <c r="N55" s="5">
        <f t="shared" si="6"/>
        <v>0</v>
      </c>
      <c r="O55" s="23">
        <f t="shared" si="7"/>
        <v>0</v>
      </c>
      <c r="P55" s="4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</row>
    <row r="56" spans="1:50" s="42" customFormat="1" x14ac:dyDescent="0.3">
      <c r="A56" s="35"/>
      <c r="B56" s="36"/>
      <c r="C56" s="35" t="s">
        <v>24</v>
      </c>
      <c r="D56" s="37" t="s">
        <v>68</v>
      </c>
      <c r="E56" s="47">
        <v>1020</v>
      </c>
      <c r="F56" s="47">
        <v>1030</v>
      </c>
      <c r="G56" s="40">
        <f t="shared" si="0"/>
        <v>10</v>
      </c>
      <c r="H56" s="41">
        <f t="shared" si="1"/>
        <v>1025</v>
      </c>
      <c r="J56" s="43">
        <f t="shared" si="2"/>
        <v>1025</v>
      </c>
      <c r="K56" s="42">
        <f t="shared" si="3"/>
        <v>-1025</v>
      </c>
      <c r="L56" s="44">
        <f t="shared" si="4"/>
        <v>-5</v>
      </c>
      <c r="M56" s="40">
        <f t="shared" si="5"/>
        <v>5</v>
      </c>
      <c r="N56" s="40">
        <f t="shared" si="6"/>
        <v>0</v>
      </c>
      <c r="O56" s="41">
        <f t="shared" si="7"/>
        <v>0</v>
      </c>
      <c r="P56" s="44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</row>
    <row r="57" spans="1:50" s="24" customFormat="1" x14ac:dyDescent="0.3">
      <c r="A57" s="1"/>
      <c r="B57"/>
      <c r="C57" s="1" t="s">
        <v>24</v>
      </c>
      <c r="D57" s="22" t="s">
        <v>69</v>
      </c>
      <c r="E57" s="55">
        <v>1050</v>
      </c>
      <c r="F57" s="55">
        <v>1064</v>
      </c>
      <c r="G57" s="5">
        <f t="shared" si="0"/>
        <v>14</v>
      </c>
      <c r="H57" s="23">
        <f t="shared" si="1"/>
        <v>1057</v>
      </c>
      <c r="I57" s="24">
        <v>0</v>
      </c>
      <c r="J57" s="25">
        <f t="shared" si="2"/>
        <v>1057</v>
      </c>
      <c r="K57" s="24">
        <f t="shared" si="3"/>
        <v>-1057</v>
      </c>
      <c r="L57" s="4">
        <f t="shared" si="4"/>
        <v>-7</v>
      </c>
      <c r="M57" s="5">
        <f t="shared" si="5"/>
        <v>7</v>
      </c>
      <c r="N57" s="5">
        <f t="shared" si="6"/>
        <v>0</v>
      </c>
      <c r="O57" s="23">
        <f t="shared" si="7"/>
        <v>0</v>
      </c>
      <c r="P57" s="4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</row>
    <row r="58" spans="1:50" s="24" customFormat="1" x14ac:dyDescent="0.3">
      <c r="A58" s="1"/>
      <c r="B58"/>
      <c r="C58" s="1" t="s">
        <v>24</v>
      </c>
      <c r="D58" s="22" t="s">
        <v>70</v>
      </c>
      <c r="E58" s="55">
        <v>1065</v>
      </c>
      <c r="F58" s="55">
        <v>1075</v>
      </c>
      <c r="G58" s="5">
        <f t="shared" si="0"/>
        <v>10</v>
      </c>
      <c r="H58" s="23">
        <f t="shared" si="1"/>
        <v>1070</v>
      </c>
      <c r="I58" s="24">
        <v>0</v>
      </c>
      <c r="J58" s="25">
        <f t="shared" si="2"/>
        <v>1070</v>
      </c>
      <c r="K58" s="24">
        <f t="shared" si="3"/>
        <v>-1070</v>
      </c>
      <c r="L58" s="4">
        <f t="shared" si="4"/>
        <v>-5</v>
      </c>
      <c r="M58" s="5">
        <f t="shared" si="5"/>
        <v>5</v>
      </c>
      <c r="N58" s="5">
        <f t="shared" si="6"/>
        <v>0</v>
      </c>
      <c r="O58" s="23">
        <f t="shared" si="7"/>
        <v>0</v>
      </c>
      <c r="P58" s="4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</row>
    <row r="59" spans="1:50" s="24" customFormat="1" x14ac:dyDescent="0.3">
      <c r="A59" s="1"/>
      <c r="B59"/>
      <c r="C59" s="1" t="s">
        <v>24</v>
      </c>
      <c r="D59" s="22" t="s">
        <v>71</v>
      </c>
      <c r="E59" s="55">
        <v>1078</v>
      </c>
      <c r="F59" s="55">
        <v>1084</v>
      </c>
      <c r="G59" s="5">
        <f t="shared" si="0"/>
        <v>6</v>
      </c>
      <c r="H59" s="23">
        <f t="shared" si="1"/>
        <v>1081</v>
      </c>
      <c r="I59" s="24">
        <v>0</v>
      </c>
      <c r="J59" s="25">
        <f t="shared" si="2"/>
        <v>1081</v>
      </c>
      <c r="K59" s="24">
        <f t="shared" si="3"/>
        <v>-1081</v>
      </c>
      <c r="L59" s="4">
        <f t="shared" si="4"/>
        <v>-3</v>
      </c>
      <c r="M59" s="5">
        <f t="shared" si="5"/>
        <v>3</v>
      </c>
      <c r="N59" s="5">
        <f t="shared" si="6"/>
        <v>0</v>
      </c>
      <c r="O59" s="23">
        <f t="shared" si="7"/>
        <v>0</v>
      </c>
      <c r="P59" s="4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</row>
    <row r="60" spans="1:50" s="24" customFormat="1" x14ac:dyDescent="0.3">
      <c r="A60" s="1"/>
      <c r="B60"/>
      <c r="C60" s="1" t="s">
        <v>24</v>
      </c>
      <c r="D60" s="22" t="s">
        <v>72</v>
      </c>
      <c r="E60" s="55">
        <v>1078</v>
      </c>
      <c r="F60" s="55">
        <v>1090</v>
      </c>
      <c r="G60" s="5">
        <f t="shared" si="0"/>
        <v>12</v>
      </c>
      <c r="H60" s="23">
        <f t="shared" si="1"/>
        <v>1084</v>
      </c>
      <c r="I60" s="24">
        <v>0</v>
      </c>
      <c r="J60" s="25">
        <f t="shared" si="2"/>
        <v>1084</v>
      </c>
      <c r="K60" s="24">
        <f t="shared" si="3"/>
        <v>-1084</v>
      </c>
      <c r="L60" s="4">
        <f t="shared" si="4"/>
        <v>-6</v>
      </c>
      <c r="M60" s="5">
        <f t="shared" si="5"/>
        <v>6</v>
      </c>
      <c r="N60" s="5">
        <f t="shared" si="6"/>
        <v>0</v>
      </c>
      <c r="O60" s="23">
        <f t="shared" si="7"/>
        <v>0</v>
      </c>
      <c r="P60" s="4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</row>
    <row r="61" spans="1:50" s="24" customFormat="1" x14ac:dyDescent="0.3">
      <c r="A61" s="1"/>
      <c r="B61"/>
      <c r="C61" s="1" t="s">
        <v>24</v>
      </c>
      <c r="D61" s="22" t="s">
        <v>73</v>
      </c>
      <c r="E61" s="55">
        <v>1089</v>
      </c>
      <c r="F61" s="55">
        <v>1099</v>
      </c>
      <c r="G61" s="5">
        <f t="shared" si="0"/>
        <v>10</v>
      </c>
      <c r="H61" s="23">
        <f t="shared" si="1"/>
        <v>1094</v>
      </c>
      <c r="I61" s="24">
        <v>0</v>
      </c>
      <c r="J61" s="25">
        <f t="shared" si="2"/>
        <v>1094</v>
      </c>
      <c r="K61" s="24">
        <f t="shared" si="3"/>
        <v>-1094</v>
      </c>
      <c r="L61" s="4">
        <f t="shared" si="4"/>
        <v>-5</v>
      </c>
      <c r="M61" s="5">
        <f t="shared" si="5"/>
        <v>5</v>
      </c>
      <c r="N61" s="5">
        <f t="shared" si="6"/>
        <v>0</v>
      </c>
      <c r="O61" s="23">
        <f t="shared" si="7"/>
        <v>0</v>
      </c>
      <c r="P61" s="4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</row>
    <row r="62" spans="1:50" s="24" customFormat="1" x14ac:dyDescent="0.3">
      <c r="A62" s="1"/>
      <c r="B62"/>
      <c r="C62" s="1" t="s">
        <v>24</v>
      </c>
      <c r="D62" s="22" t="s">
        <v>74</v>
      </c>
      <c r="E62" s="55">
        <v>1109</v>
      </c>
      <c r="F62" s="55">
        <v>1119</v>
      </c>
      <c r="G62" s="5">
        <f t="shared" si="0"/>
        <v>10</v>
      </c>
      <c r="H62" s="23">
        <f t="shared" si="1"/>
        <v>1114</v>
      </c>
      <c r="I62" s="24">
        <v>0</v>
      </c>
      <c r="J62" s="25">
        <f t="shared" si="2"/>
        <v>1114</v>
      </c>
      <c r="K62" s="24">
        <f t="shared" si="3"/>
        <v>-1114</v>
      </c>
      <c r="L62" s="4">
        <f t="shared" si="4"/>
        <v>-5</v>
      </c>
      <c r="M62" s="5">
        <f t="shared" si="5"/>
        <v>5</v>
      </c>
      <c r="N62" s="5">
        <f t="shared" si="6"/>
        <v>0</v>
      </c>
      <c r="O62" s="23">
        <f t="shared" si="7"/>
        <v>0</v>
      </c>
      <c r="P62" s="4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</row>
    <row r="63" spans="1:50" s="24" customFormat="1" x14ac:dyDescent="0.3">
      <c r="A63" s="1"/>
      <c r="B63"/>
      <c r="C63" s="1" t="s">
        <v>24</v>
      </c>
      <c r="D63" s="22" t="s">
        <v>75</v>
      </c>
      <c r="E63" s="55">
        <v>1165</v>
      </c>
      <c r="F63" s="55">
        <v>1177</v>
      </c>
      <c r="G63" s="5">
        <f t="shared" si="0"/>
        <v>12</v>
      </c>
      <c r="H63" s="23">
        <f t="shared" si="1"/>
        <v>1171</v>
      </c>
      <c r="I63" s="24">
        <v>0</v>
      </c>
      <c r="J63" s="25">
        <f t="shared" si="2"/>
        <v>1171</v>
      </c>
      <c r="K63" s="24">
        <f t="shared" si="3"/>
        <v>-1171</v>
      </c>
      <c r="L63" s="4">
        <f t="shared" si="4"/>
        <v>-6</v>
      </c>
      <c r="M63" s="5">
        <f t="shared" si="5"/>
        <v>6</v>
      </c>
      <c r="N63" s="5">
        <f t="shared" si="6"/>
        <v>0</v>
      </c>
      <c r="O63" s="23">
        <f t="shared" si="7"/>
        <v>0</v>
      </c>
      <c r="P63" s="4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</row>
    <row r="64" spans="1:50" s="42" customFormat="1" x14ac:dyDescent="0.3">
      <c r="A64" s="35"/>
      <c r="B64" s="36"/>
      <c r="C64" s="35" t="s">
        <v>24</v>
      </c>
      <c r="D64" s="37" t="s">
        <v>76</v>
      </c>
      <c r="E64" s="47">
        <v>1176</v>
      </c>
      <c r="F64" s="47">
        <v>1186</v>
      </c>
      <c r="G64" s="40">
        <f t="shared" si="0"/>
        <v>10</v>
      </c>
      <c r="H64" s="41">
        <f t="shared" si="1"/>
        <v>1181</v>
      </c>
      <c r="J64" s="43">
        <f t="shared" si="2"/>
        <v>1181</v>
      </c>
      <c r="K64" s="42">
        <f t="shared" si="3"/>
        <v>-1181</v>
      </c>
      <c r="L64" s="44">
        <f t="shared" si="4"/>
        <v>-5</v>
      </c>
      <c r="M64" s="40">
        <f t="shared" si="5"/>
        <v>5</v>
      </c>
      <c r="N64" s="40">
        <f t="shared" si="6"/>
        <v>0</v>
      </c>
      <c r="O64" s="41">
        <f t="shared" si="7"/>
        <v>0</v>
      </c>
      <c r="P64" s="44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</row>
    <row r="65" spans="1:50" s="24" customFormat="1" x14ac:dyDescent="0.3">
      <c r="A65" s="1"/>
      <c r="B65"/>
      <c r="C65" s="1" t="s">
        <v>24</v>
      </c>
      <c r="D65" s="22" t="s">
        <v>77</v>
      </c>
      <c r="E65" s="55">
        <v>1238</v>
      </c>
      <c r="F65" s="55">
        <v>1248</v>
      </c>
      <c r="G65" s="5">
        <f t="shared" si="0"/>
        <v>10</v>
      </c>
      <c r="H65" s="23">
        <f t="shared" si="1"/>
        <v>1243</v>
      </c>
      <c r="I65" s="24">
        <v>0</v>
      </c>
      <c r="J65" s="25">
        <f t="shared" si="2"/>
        <v>1243</v>
      </c>
      <c r="K65" s="24">
        <f t="shared" si="3"/>
        <v>-1243</v>
      </c>
      <c r="L65" s="4">
        <f t="shared" si="4"/>
        <v>-5</v>
      </c>
      <c r="M65" s="5">
        <f t="shared" si="5"/>
        <v>5</v>
      </c>
      <c r="N65" s="5">
        <f t="shared" si="6"/>
        <v>0</v>
      </c>
      <c r="O65" s="23">
        <f t="shared" si="7"/>
        <v>0</v>
      </c>
      <c r="P65" s="4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</row>
    <row r="66" spans="1:50" s="42" customFormat="1" x14ac:dyDescent="0.3">
      <c r="A66" s="35"/>
      <c r="B66" s="36"/>
      <c r="C66" s="35" t="s">
        <v>24</v>
      </c>
      <c r="D66" s="37" t="s">
        <v>78</v>
      </c>
      <c r="E66" s="47">
        <v>1263</v>
      </c>
      <c r="F66" s="47">
        <v>1283</v>
      </c>
      <c r="G66" s="40">
        <f t="shared" si="0"/>
        <v>20</v>
      </c>
      <c r="H66" s="41">
        <f t="shared" si="1"/>
        <v>1273</v>
      </c>
      <c r="J66" s="43">
        <f t="shared" si="2"/>
        <v>1273</v>
      </c>
      <c r="K66" s="42">
        <f t="shared" si="3"/>
        <v>-1273</v>
      </c>
      <c r="L66" s="44">
        <f t="shared" si="4"/>
        <v>-10</v>
      </c>
      <c r="M66" s="40">
        <f t="shared" si="5"/>
        <v>10</v>
      </c>
      <c r="N66" s="40">
        <f t="shared" si="6"/>
        <v>0</v>
      </c>
      <c r="O66" s="41">
        <f t="shared" si="7"/>
        <v>0</v>
      </c>
      <c r="P66" s="44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</row>
    <row r="67" spans="1:50" s="42" customFormat="1" x14ac:dyDescent="0.3">
      <c r="A67" s="35"/>
      <c r="B67" s="36"/>
      <c r="C67" s="35" t="s">
        <v>24</v>
      </c>
      <c r="D67" s="37" t="s">
        <v>79</v>
      </c>
      <c r="E67" s="47">
        <v>1315</v>
      </c>
      <c r="F67" s="47">
        <v>1335</v>
      </c>
      <c r="G67" s="40">
        <f t="shared" si="0"/>
        <v>20</v>
      </c>
      <c r="H67" s="41">
        <f t="shared" si="1"/>
        <v>1325</v>
      </c>
      <c r="J67" s="43">
        <f t="shared" si="2"/>
        <v>1325</v>
      </c>
      <c r="K67" s="42">
        <f t="shared" si="3"/>
        <v>-1325</v>
      </c>
      <c r="L67" s="44">
        <f t="shared" si="4"/>
        <v>-10</v>
      </c>
      <c r="M67" s="40">
        <f t="shared" si="5"/>
        <v>10</v>
      </c>
      <c r="N67" s="40">
        <f t="shared" si="6"/>
        <v>0</v>
      </c>
      <c r="O67" s="41">
        <f t="shared" si="7"/>
        <v>0</v>
      </c>
      <c r="P67" s="44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</row>
    <row r="68" spans="1:50" s="42" customFormat="1" x14ac:dyDescent="0.3">
      <c r="A68" s="35"/>
      <c r="B68" s="36"/>
      <c r="C68" s="35" t="s">
        <v>24</v>
      </c>
      <c r="D68" s="37" t="s">
        <v>80</v>
      </c>
      <c r="E68" s="47">
        <v>1344</v>
      </c>
      <c r="F68" s="47">
        <v>1364</v>
      </c>
      <c r="G68" s="40">
        <f t="shared" si="0"/>
        <v>20</v>
      </c>
      <c r="H68" s="41">
        <f t="shared" si="1"/>
        <v>1354</v>
      </c>
      <c r="J68" s="43">
        <f t="shared" si="2"/>
        <v>1354</v>
      </c>
      <c r="K68" s="42">
        <f t="shared" si="3"/>
        <v>-1354</v>
      </c>
      <c r="L68" s="44">
        <f t="shared" si="4"/>
        <v>-10</v>
      </c>
      <c r="M68" s="40">
        <f t="shared" si="5"/>
        <v>10</v>
      </c>
      <c r="N68" s="40">
        <f t="shared" si="6"/>
        <v>0</v>
      </c>
      <c r="O68" s="41">
        <f t="shared" si="7"/>
        <v>0</v>
      </c>
      <c r="P68" s="44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</row>
    <row r="69" spans="1:50" s="24" customFormat="1" x14ac:dyDescent="0.3">
      <c r="A69" s="1"/>
      <c r="B69"/>
      <c r="C69" s="1" t="s">
        <v>24</v>
      </c>
      <c r="D69" s="22" t="s">
        <v>81</v>
      </c>
      <c r="E69" s="55">
        <v>1355</v>
      </c>
      <c r="F69" s="55">
        <v>1367</v>
      </c>
      <c r="G69" s="5">
        <f t="shared" si="0"/>
        <v>12</v>
      </c>
      <c r="H69" s="23">
        <f t="shared" si="1"/>
        <v>1361</v>
      </c>
      <c r="I69" s="24">
        <v>0</v>
      </c>
      <c r="J69" s="25">
        <f t="shared" si="2"/>
        <v>1361</v>
      </c>
      <c r="K69" s="24">
        <f t="shared" si="3"/>
        <v>-1361</v>
      </c>
      <c r="L69" s="4">
        <f t="shared" si="4"/>
        <v>-6</v>
      </c>
      <c r="M69" s="5">
        <f t="shared" si="5"/>
        <v>6</v>
      </c>
      <c r="N69" s="5">
        <f t="shared" si="6"/>
        <v>0</v>
      </c>
      <c r="O69" s="23">
        <f t="shared" si="7"/>
        <v>0</v>
      </c>
      <c r="P69" s="4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</row>
    <row r="70" spans="1:50" s="42" customFormat="1" x14ac:dyDescent="0.3">
      <c r="A70" s="35"/>
      <c r="B70" s="36"/>
      <c r="C70" s="35" t="s">
        <v>24</v>
      </c>
      <c r="D70" s="37" t="s">
        <v>82</v>
      </c>
      <c r="E70" s="47">
        <v>1391</v>
      </c>
      <c r="F70" s="47">
        <v>1403</v>
      </c>
      <c r="G70" s="40">
        <f t="shared" si="0"/>
        <v>12</v>
      </c>
      <c r="H70" s="41">
        <f t="shared" si="1"/>
        <v>1397</v>
      </c>
      <c r="J70" s="43">
        <f t="shared" si="2"/>
        <v>1397</v>
      </c>
      <c r="K70" s="42">
        <f t="shared" si="3"/>
        <v>-1397</v>
      </c>
      <c r="L70" s="44">
        <f t="shared" si="4"/>
        <v>-6</v>
      </c>
      <c r="M70" s="40">
        <f t="shared" si="5"/>
        <v>6</v>
      </c>
      <c r="N70" s="40">
        <f t="shared" si="6"/>
        <v>0</v>
      </c>
      <c r="O70" s="41">
        <f t="shared" si="7"/>
        <v>0</v>
      </c>
      <c r="P70" s="44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</row>
    <row r="71" spans="1:50" s="42" customFormat="1" x14ac:dyDescent="0.3">
      <c r="A71" s="35"/>
      <c r="B71" s="36"/>
      <c r="C71" s="35" t="s">
        <v>24</v>
      </c>
      <c r="D71" s="37" t="s">
        <v>83</v>
      </c>
      <c r="E71" s="47">
        <v>1404</v>
      </c>
      <c r="F71" s="47">
        <v>1416</v>
      </c>
      <c r="G71" s="40">
        <f t="shared" si="0"/>
        <v>12</v>
      </c>
      <c r="H71" s="41">
        <f t="shared" si="1"/>
        <v>1410</v>
      </c>
      <c r="J71" s="43">
        <f t="shared" si="2"/>
        <v>1410</v>
      </c>
      <c r="K71" s="42">
        <f t="shared" si="3"/>
        <v>-1410</v>
      </c>
      <c r="L71" s="44">
        <f t="shared" si="4"/>
        <v>-6</v>
      </c>
      <c r="M71" s="40">
        <f t="shared" si="5"/>
        <v>6</v>
      </c>
      <c r="N71" s="40">
        <f t="shared" si="6"/>
        <v>0</v>
      </c>
      <c r="O71" s="41">
        <f t="shared" si="7"/>
        <v>0</v>
      </c>
      <c r="P71" s="44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</row>
    <row r="72" spans="1:50" s="24" customFormat="1" x14ac:dyDescent="0.3">
      <c r="A72" s="1"/>
      <c r="B72"/>
      <c r="C72" s="1" t="s">
        <v>24</v>
      </c>
      <c r="D72" s="22" t="s">
        <v>84</v>
      </c>
      <c r="E72" s="55">
        <v>1416</v>
      </c>
      <c r="F72" s="55">
        <v>1422</v>
      </c>
      <c r="G72" s="5">
        <f t="shared" ref="G72:G103" si="12">F72-E72</f>
        <v>6</v>
      </c>
      <c r="H72" s="23">
        <f t="shared" ref="H72:H103" si="13">E72+G72/2</f>
        <v>1419</v>
      </c>
      <c r="I72" s="24">
        <v>0</v>
      </c>
      <c r="J72" s="25">
        <f t="shared" ref="J72:J103" si="14">H72-I72</f>
        <v>1419</v>
      </c>
      <c r="K72" s="24">
        <f t="shared" ref="K72:K103" si="15">-1*(ROUND(J72,0))</f>
        <v>-1419</v>
      </c>
      <c r="L72" s="4">
        <f t="shared" ref="L72:L103" si="16">E72+K72</f>
        <v>-3</v>
      </c>
      <c r="M72" s="5">
        <f t="shared" ref="M72:M103" si="17">F72+K72</f>
        <v>3</v>
      </c>
      <c r="N72" s="5">
        <f t="shared" ref="N72:N103" si="18">H72+K72</f>
        <v>0</v>
      </c>
      <c r="O72" s="23">
        <f t="shared" ref="O72:O103" si="19">N72-I72</f>
        <v>0</v>
      </c>
      <c r="P72" s="4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</row>
    <row r="73" spans="1:50" s="42" customFormat="1" x14ac:dyDescent="0.3">
      <c r="A73" s="35"/>
      <c r="B73" s="36"/>
      <c r="C73" s="35" t="s">
        <v>24</v>
      </c>
      <c r="D73" s="37" t="s">
        <v>85</v>
      </c>
      <c r="E73" s="47">
        <v>1435</v>
      </c>
      <c r="F73" s="47">
        <v>1455</v>
      </c>
      <c r="G73" s="40">
        <f t="shared" si="12"/>
        <v>20</v>
      </c>
      <c r="H73" s="41">
        <f t="shared" si="13"/>
        <v>1445</v>
      </c>
      <c r="J73" s="43">
        <f t="shared" si="14"/>
        <v>1445</v>
      </c>
      <c r="K73" s="42">
        <f t="shared" si="15"/>
        <v>-1445</v>
      </c>
      <c r="L73" s="44">
        <f t="shared" si="16"/>
        <v>-10</v>
      </c>
      <c r="M73" s="40">
        <f t="shared" si="17"/>
        <v>10</v>
      </c>
      <c r="N73" s="40">
        <f t="shared" si="18"/>
        <v>0</v>
      </c>
      <c r="O73" s="41">
        <f t="shared" si="19"/>
        <v>0</v>
      </c>
      <c r="P73" s="44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</row>
    <row r="74" spans="1:50" s="42" customFormat="1" x14ac:dyDescent="0.3">
      <c r="A74" s="35"/>
      <c r="B74" s="36"/>
      <c r="C74" s="35" t="s">
        <v>24</v>
      </c>
      <c r="D74" s="37" t="s">
        <v>86</v>
      </c>
      <c r="E74" s="47">
        <v>1478</v>
      </c>
      <c r="F74" s="47">
        <v>1498</v>
      </c>
      <c r="G74" s="40">
        <f t="shared" si="12"/>
        <v>20</v>
      </c>
      <c r="H74" s="41">
        <f t="shared" si="13"/>
        <v>1488</v>
      </c>
      <c r="J74" s="43">
        <f t="shared" si="14"/>
        <v>1488</v>
      </c>
      <c r="K74" s="42">
        <f t="shared" si="15"/>
        <v>-1488</v>
      </c>
      <c r="L74" s="44">
        <f t="shared" si="16"/>
        <v>-10</v>
      </c>
      <c r="M74" s="40">
        <f t="shared" si="17"/>
        <v>10</v>
      </c>
      <c r="N74" s="40">
        <f t="shared" si="18"/>
        <v>0</v>
      </c>
      <c r="O74" s="41">
        <f t="shared" si="19"/>
        <v>0</v>
      </c>
      <c r="P74" s="44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</row>
    <row r="75" spans="1:50" s="24" customFormat="1" x14ac:dyDescent="0.3">
      <c r="A75" s="1"/>
      <c r="B75"/>
      <c r="C75" s="1" t="s">
        <v>24</v>
      </c>
      <c r="D75" s="22" t="s">
        <v>87</v>
      </c>
      <c r="E75" s="55">
        <v>1510</v>
      </c>
      <c r="F75" s="55">
        <v>1520</v>
      </c>
      <c r="G75" s="5">
        <f t="shared" si="12"/>
        <v>10</v>
      </c>
      <c r="H75" s="23">
        <f t="shared" si="13"/>
        <v>1515</v>
      </c>
      <c r="I75" s="24">
        <v>0</v>
      </c>
      <c r="J75" s="25">
        <f t="shared" si="14"/>
        <v>1515</v>
      </c>
      <c r="K75" s="24">
        <f t="shared" si="15"/>
        <v>-1515</v>
      </c>
      <c r="L75" s="4">
        <f t="shared" si="16"/>
        <v>-5</v>
      </c>
      <c r="M75" s="5">
        <f t="shared" si="17"/>
        <v>5</v>
      </c>
      <c r="N75" s="5">
        <f t="shared" si="18"/>
        <v>0</v>
      </c>
      <c r="O75" s="23">
        <f t="shared" si="19"/>
        <v>0</v>
      </c>
      <c r="P75" s="4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</row>
    <row r="76" spans="1:50" s="24" customFormat="1" x14ac:dyDescent="0.3">
      <c r="A76" s="1"/>
      <c r="B76"/>
      <c r="C76" s="1" t="s">
        <v>24</v>
      </c>
      <c r="D76" s="22" t="s">
        <v>88</v>
      </c>
      <c r="E76" s="55">
        <v>1530</v>
      </c>
      <c r="F76" s="55">
        <v>1542</v>
      </c>
      <c r="G76" s="5">
        <f t="shared" si="12"/>
        <v>12</v>
      </c>
      <c r="H76" s="23">
        <f t="shared" si="13"/>
        <v>1536</v>
      </c>
      <c r="I76" s="24">
        <v>0</v>
      </c>
      <c r="J76" s="25">
        <f t="shared" si="14"/>
        <v>1536</v>
      </c>
      <c r="K76" s="24">
        <f t="shared" si="15"/>
        <v>-1536</v>
      </c>
      <c r="L76" s="4">
        <f t="shared" si="16"/>
        <v>-6</v>
      </c>
      <c r="M76" s="5">
        <f t="shared" si="17"/>
        <v>6</v>
      </c>
      <c r="N76" s="5">
        <f t="shared" si="18"/>
        <v>0</v>
      </c>
      <c r="O76" s="23">
        <f t="shared" si="19"/>
        <v>0</v>
      </c>
      <c r="P76" s="4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</row>
    <row r="77" spans="1:50" s="42" customFormat="1" x14ac:dyDescent="0.3">
      <c r="A77" s="35"/>
      <c r="B77" s="36"/>
      <c r="C77" s="35" t="s">
        <v>24</v>
      </c>
      <c r="D77" s="37" t="s">
        <v>89</v>
      </c>
      <c r="E77" s="47">
        <v>1544</v>
      </c>
      <c r="F77" s="47">
        <v>1554</v>
      </c>
      <c r="G77" s="40">
        <f t="shared" si="12"/>
        <v>10</v>
      </c>
      <c r="H77" s="41">
        <f t="shared" si="13"/>
        <v>1549</v>
      </c>
      <c r="J77" s="43">
        <f t="shared" si="14"/>
        <v>1549</v>
      </c>
      <c r="K77" s="42">
        <f t="shared" si="15"/>
        <v>-1549</v>
      </c>
      <c r="L77" s="44">
        <f t="shared" si="16"/>
        <v>-5</v>
      </c>
      <c r="M77" s="40">
        <f t="shared" si="17"/>
        <v>5</v>
      </c>
      <c r="N77" s="40">
        <f t="shared" si="18"/>
        <v>0</v>
      </c>
      <c r="O77" s="41">
        <f t="shared" si="19"/>
        <v>0</v>
      </c>
      <c r="P77" s="44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</row>
    <row r="78" spans="1:50" s="42" customFormat="1" x14ac:dyDescent="0.3">
      <c r="A78" s="35"/>
      <c r="B78" s="36"/>
      <c r="C78" s="35" t="s">
        <v>24</v>
      </c>
      <c r="D78" s="37" t="s">
        <v>90</v>
      </c>
      <c r="E78" s="48">
        <v>1550</v>
      </c>
      <c r="F78" s="48">
        <v>1560</v>
      </c>
      <c r="G78" s="40">
        <f t="shared" si="12"/>
        <v>10</v>
      </c>
      <c r="H78" s="41">
        <f t="shared" si="13"/>
        <v>1555</v>
      </c>
      <c r="J78" s="43">
        <f t="shared" si="14"/>
        <v>1555</v>
      </c>
      <c r="K78" s="42">
        <f t="shared" si="15"/>
        <v>-1555</v>
      </c>
      <c r="L78" s="44">
        <f t="shared" si="16"/>
        <v>-5</v>
      </c>
      <c r="M78" s="40">
        <f t="shared" si="17"/>
        <v>5</v>
      </c>
      <c r="N78" s="40">
        <f t="shared" si="18"/>
        <v>0</v>
      </c>
      <c r="O78" s="41">
        <f t="shared" si="19"/>
        <v>0</v>
      </c>
      <c r="P78" s="44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</row>
    <row r="79" spans="1:50" s="24" customFormat="1" x14ac:dyDescent="0.3">
      <c r="A79" s="1"/>
      <c r="B79"/>
      <c r="C79" s="1" t="s">
        <v>24</v>
      </c>
      <c r="D79" s="22" t="s">
        <v>91</v>
      </c>
      <c r="E79" s="56">
        <v>1566</v>
      </c>
      <c r="F79" s="56">
        <v>1574</v>
      </c>
      <c r="G79" s="5">
        <f t="shared" si="12"/>
        <v>8</v>
      </c>
      <c r="H79" s="23">
        <f t="shared" si="13"/>
        <v>1570</v>
      </c>
      <c r="I79" s="24">
        <v>0</v>
      </c>
      <c r="J79" s="25">
        <f t="shared" si="14"/>
        <v>1570</v>
      </c>
      <c r="K79" s="24">
        <f t="shared" si="15"/>
        <v>-1570</v>
      </c>
      <c r="L79" s="4">
        <f t="shared" si="16"/>
        <v>-4</v>
      </c>
      <c r="M79" s="5">
        <f t="shared" si="17"/>
        <v>4</v>
      </c>
      <c r="N79" s="5">
        <f t="shared" si="18"/>
        <v>0</v>
      </c>
      <c r="O79" s="23">
        <f t="shared" si="19"/>
        <v>0</v>
      </c>
      <c r="P79" s="4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</row>
    <row r="80" spans="1:50" s="42" customFormat="1" x14ac:dyDescent="0.3">
      <c r="A80" s="35"/>
      <c r="B80" s="36"/>
      <c r="C80" s="35" t="s">
        <v>24</v>
      </c>
      <c r="D80" s="37" t="s">
        <v>92</v>
      </c>
      <c r="E80" s="48">
        <v>1572</v>
      </c>
      <c r="F80" s="48">
        <v>1580</v>
      </c>
      <c r="G80" s="40">
        <f t="shared" si="12"/>
        <v>8</v>
      </c>
      <c r="H80" s="41">
        <f t="shared" si="13"/>
        <v>1576</v>
      </c>
      <c r="J80" s="43">
        <f t="shared" si="14"/>
        <v>1576</v>
      </c>
      <c r="K80" s="42">
        <f t="shared" si="15"/>
        <v>-1576</v>
      </c>
      <c r="L80" s="44">
        <f t="shared" si="16"/>
        <v>-4</v>
      </c>
      <c r="M80" s="40">
        <f t="shared" si="17"/>
        <v>4</v>
      </c>
      <c r="N80" s="40">
        <f t="shared" si="18"/>
        <v>0</v>
      </c>
      <c r="O80" s="41">
        <f t="shared" si="19"/>
        <v>0</v>
      </c>
      <c r="P80" s="44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</row>
    <row r="81" spans="1:50" s="42" customFormat="1" x14ac:dyDescent="0.3">
      <c r="A81" s="35"/>
      <c r="B81" s="36"/>
      <c r="C81" s="35" t="s">
        <v>24</v>
      </c>
      <c r="D81" s="37" t="s">
        <v>93</v>
      </c>
      <c r="E81" s="49">
        <v>1580</v>
      </c>
      <c r="F81" s="48">
        <v>1594</v>
      </c>
      <c r="G81" s="40">
        <f t="shared" si="12"/>
        <v>14</v>
      </c>
      <c r="H81" s="41">
        <f t="shared" si="13"/>
        <v>1587</v>
      </c>
      <c r="J81" s="43">
        <f t="shared" si="14"/>
        <v>1587</v>
      </c>
      <c r="K81" s="42">
        <f t="shared" si="15"/>
        <v>-1587</v>
      </c>
      <c r="L81" s="44">
        <f t="shared" si="16"/>
        <v>-7</v>
      </c>
      <c r="M81" s="40">
        <f t="shared" si="17"/>
        <v>7</v>
      </c>
      <c r="N81" s="40">
        <f t="shared" si="18"/>
        <v>0</v>
      </c>
      <c r="O81" s="41">
        <f t="shared" si="19"/>
        <v>0</v>
      </c>
      <c r="P81" s="44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</row>
    <row r="82" spans="1:50" s="24" customFormat="1" x14ac:dyDescent="0.3">
      <c r="A82" s="1"/>
      <c r="B82"/>
      <c r="C82" s="1" t="s">
        <v>24</v>
      </c>
      <c r="D82" s="22" t="s">
        <v>94</v>
      </c>
      <c r="E82" s="56">
        <v>1605</v>
      </c>
      <c r="F82" s="56">
        <v>1619</v>
      </c>
      <c r="G82" s="5">
        <f t="shared" si="12"/>
        <v>14</v>
      </c>
      <c r="H82" s="23">
        <f t="shared" si="13"/>
        <v>1612</v>
      </c>
      <c r="I82" s="24">
        <v>0</v>
      </c>
      <c r="J82" s="25">
        <f t="shared" si="14"/>
        <v>1612</v>
      </c>
      <c r="K82" s="24">
        <f t="shared" si="15"/>
        <v>-1612</v>
      </c>
      <c r="L82" s="4">
        <f t="shared" si="16"/>
        <v>-7</v>
      </c>
      <c r="M82" s="5">
        <f t="shared" si="17"/>
        <v>7</v>
      </c>
      <c r="N82" s="5">
        <f t="shared" si="18"/>
        <v>0</v>
      </c>
      <c r="O82" s="23">
        <f t="shared" si="19"/>
        <v>0</v>
      </c>
      <c r="P82" s="4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</row>
    <row r="83" spans="1:50" s="24" customFormat="1" x14ac:dyDescent="0.3">
      <c r="A83" s="1"/>
      <c r="B83"/>
      <c r="C83" s="1" t="s">
        <v>24</v>
      </c>
      <c r="D83" s="22" t="s">
        <v>95</v>
      </c>
      <c r="E83" s="56">
        <v>1618</v>
      </c>
      <c r="F83" s="56">
        <v>1632</v>
      </c>
      <c r="G83" s="5">
        <f t="shared" si="12"/>
        <v>14</v>
      </c>
      <c r="H83" s="23">
        <f t="shared" si="13"/>
        <v>1625</v>
      </c>
      <c r="I83" s="24">
        <v>0</v>
      </c>
      <c r="J83" s="25">
        <f t="shared" si="14"/>
        <v>1625</v>
      </c>
      <c r="K83" s="24">
        <f t="shared" si="15"/>
        <v>-1625</v>
      </c>
      <c r="L83" s="4">
        <f t="shared" si="16"/>
        <v>-7</v>
      </c>
      <c r="M83" s="5">
        <f t="shared" si="17"/>
        <v>7</v>
      </c>
      <c r="N83" s="5">
        <f t="shared" si="18"/>
        <v>0</v>
      </c>
      <c r="O83" s="23">
        <f t="shared" si="19"/>
        <v>0</v>
      </c>
      <c r="P83" s="4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</row>
    <row r="84" spans="1:50" s="42" customFormat="1" x14ac:dyDescent="0.3">
      <c r="A84" s="35"/>
      <c r="B84" s="36"/>
      <c r="C84" s="35" t="s">
        <v>24</v>
      </c>
      <c r="D84" s="37" t="s">
        <v>96</v>
      </c>
      <c r="E84" s="48">
        <v>1637</v>
      </c>
      <c r="F84" s="48">
        <v>1647</v>
      </c>
      <c r="G84" s="40">
        <f t="shared" si="12"/>
        <v>10</v>
      </c>
      <c r="H84" s="41">
        <f t="shared" si="13"/>
        <v>1642</v>
      </c>
      <c r="J84" s="43">
        <f t="shared" si="14"/>
        <v>1642</v>
      </c>
      <c r="K84" s="42">
        <f t="shared" si="15"/>
        <v>-1642</v>
      </c>
      <c r="L84" s="44">
        <f t="shared" si="16"/>
        <v>-5</v>
      </c>
      <c r="M84" s="40">
        <f t="shared" si="17"/>
        <v>5</v>
      </c>
      <c r="N84" s="40">
        <f t="shared" si="18"/>
        <v>0</v>
      </c>
      <c r="O84" s="41">
        <f t="shared" si="19"/>
        <v>0</v>
      </c>
      <c r="P84" s="44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</row>
    <row r="85" spans="1:50" s="24" customFormat="1" x14ac:dyDescent="0.3">
      <c r="A85" s="1"/>
      <c r="B85"/>
      <c r="C85" s="1" t="s">
        <v>24</v>
      </c>
      <c r="D85" s="22" t="s">
        <v>97</v>
      </c>
      <c r="E85" s="56">
        <v>1659</v>
      </c>
      <c r="F85" s="56">
        <v>1663</v>
      </c>
      <c r="G85" s="5">
        <f t="shared" si="12"/>
        <v>4</v>
      </c>
      <c r="H85" s="23">
        <f t="shared" si="13"/>
        <v>1661</v>
      </c>
      <c r="I85" s="24">
        <v>0</v>
      </c>
      <c r="J85" s="25">
        <f t="shared" si="14"/>
        <v>1661</v>
      </c>
      <c r="K85" s="24">
        <f t="shared" si="15"/>
        <v>-1661</v>
      </c>
      <c r="L85" s="4">
        <f t="shared" si="16"/>
        <v>-2</v>
      </c>
      <c r="M85" s="5">
        <f t="shared" si="17"/>
        <v>2</v>
      </c>
      <c r="N85" s="5">
        <f t="shared" si="18"/>
        <v>0</v>
      </c>
      <c r="O85" s="23">
        <f t="shared" si="19"/>
        <v>0</v>
      </c>
      <c r="P85" s="4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</row>
    <row r="86" spans="1:50" s="42" customFormat="1" x14ac:dyDescent="0.3">
      <c r="A86" s="35"/>
      <c r="B86" s="36"/>
      <c r="C86" s="35" t="s">
        <v>24</v>
      </c>
      <c r="D86" s="37" t="s">
        <v>98</v>
      </c>
      <c r="E86" s="48">
        <v>1659</v>
      </c>
      <c r="F86" s="48">
        <v>1663</v>
      </c>
      <c r="G86" s="40">
        <f t="shared" si="12"/>
        <v>4</v>
      </c>
      <c r="H86" s="41">
        <f t="shared" si="13"/>
        <v>1661</v>
      </c>
      <c r="J86" s="43">
        <f t="shared" si="14"/>
        <v>1661</v>
      </c>
      <c r="K86" s="42">
        <f t="shared" si="15"/>
        <v>-1661</v>
      </c>
      <c r="L86" s="44">
        <f t="shared" si="16"/>
        <v>-2</v>
      </c>
      <c r="M86" s="40">
        <f t="shared" si="17"/>
        <v>2</v>
      </c>
      <c r="N86" s="40">
        <f t="shared" si="18"/>
        <v>0</v>
      </c>
      <c r="O86" s="41">
        <f t="shared" si="19"/>
        <v>0</v>
      </c>
      <c r="P86" s="44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</row>
    <row r="87" spans="1:50" s="65" customFormat="1" x14ac:dyDescent="0.3">
      <c r="A87" s="58"/>
      <c r="B87" s="59"/>
      <c r="C87" s="58" t="s">
        <v>24</v>
      </c>
      <c r="D87" s="60" t="s">
        <v>23</v>
      </c>
      <c r="E87" s="61">
        <v>1657</v>
      </c>
      <c r="F87" s="62">
        <v>1667</v>
      </c>
      <c r="G87" s="63">
        <f t="shared" si="12"/>
        <v>10</v>
      </c>
      <c r="H87" s="64">
        <f t="shared" si="13"/>
        <v>1662</v>
      </c>
      <c r="J87" s="66">
        <f t="shared" si="14"/>
        <v>1662</v>
      </c>
      <c r="K87" s="65">
        <f t="shared" si="15"/>
        <v>-1662</v>
      </c>
      <c r="L87" s="67">
        <f t="shared" si="16"/>
        <v>-5</v>
      </c>
      <c r="M87" s="63">
        <f t="shared" si="17"/>
        <v>5</v>
      </c>
      <c r="N87" s="63">
        <f t="shared" si="18"/>
        <v>0</v>
      </c>
      <c r="O87" s="64">
        <f t="shared" si="19"/>
        <v>0</v>
      </c>
      <c r="P87" s="67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3"/>
      <c r="AP87" s="63"/>
      <c r="AQ87" s="63"/>
      <c r="AR87" s="63"/>
      <c r="AS87" s="63"/>
      <c r="AT87" s="63"/>
      <c r="AU87" s="63"/>
      <c r="AV87" s="63"/>
      <c r="AW87" s="63"/>
      <c r="AX87" s="63"/>
    </row>
    <row r="88" spans="1:50" s="42" customFormat="1" x14ac:dyDescent="0.3">
      <c r="A88" s="35"/>
      <c r="B88" s="36"/>
      <c r="C88" s="35" t="s">
        <v>24</v>
      </c>
      <c r="D88" s="37" t="s">
        <v>99</v>
      </c>
      <c r="E88" s="48">
        <v>1667</v>
      </c>
      <c r="F88" s="48">
        <v>1677</v>
      </c>
      <c r="G88" s="40">
        <f t="shared" si="12"/>
        <v>10</v>
      </c>
      <c r="H88" s="41">
        <f t="shared" si="13"/>
        <v>1672</v>
      </c>
      <c r="J88" s="43">
        <f t="shared" si="14"/>
        <v>1672</v>
      </c>
      <c r="K88" s="42">
        <f t="shared" si="15"/>
        <v>-1672</v>
      </c>
      <c r="L88" s="44">
        <f t="shared" si="16"/>
        <v>-5</v>
      </c>
      <c r="M88" s="40">
        <f t="shared" si="17"/>
        <v>5</v>
      </c>
      <c r="N88" s="40">
        <f t="shared" si="18"/>
        <v>0</v>
      </c>
      <c r="O88" s="41">
        <f t="shared" si="19"/>
        <v>0</v>
      </c>
      <c r="P88" s="44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</row>
    <row r="89" spans="1:50" s="24" customFormat="1" x14ac:dyDescent="0.3">
      <c r="A89" s="1"/>
      <c r="B89"/>
      <c r="C89" s="1" t="s">
        <v>24</v>
      </c>
      <c r="D89" s="22" t="s">
        <v>100</v>
      </c>
      <c r="E89" s="56">
        <v>1685</v>
      </c>
      <c r="F89" s="56">
        <v>1695</v>
      </c>
      <c r="G89" s="5">
        <f t="shared" si="12"/>
        <v>10</v>
      </c>
      <c r="H89" s="23">
        <f t="shared" si="13"/>
        <v>1690</v>
      </c>
      <c r="I89" s="24">
        <v>0</v>
      </c>
      <c r="J89" s="25">
        <f t="shared" si="14"/>
        <v>1690</v>
      </c>
      <c r="K89" s="24">
        <f t="shared" si="15"/>
        <v>-1690</v>
      </c>
      <c r="L89" s="4">
        <f t="shared" si="16"/>
        <v>-5</v>
      </c>
      <c r="M89" s="5">
        <f t="shared" si="17"/>
        <v>5</v>
      </c>
      <c r="N89" s="5">
        <f t="shared" si="18"/>
        <v>0</v>
      </c>
      <c r="O89" s="23">
        <f t="shared" si="19"/>
        <v>0</v>
      </c>
      <c r="P89" s="4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</row>
    <row r="90" spans="1:50" s="24" customFormat="1" x14ac:dyDescent="0.3">
      <c r="A90" s="1"/>
      <c r="B90"/>
      <c r="C90" s="1" t="s">
        <v>24</v>
      </c>
      <c r="D90" s="22" t="s">
        <v>101</v>
      </c>
      <c r="E90" s="56">
        <v>1696</v>
      </c>
      <c r="F90" s="34">
        <v>1708</v>
      </c>
      <c r="G90" s="5">
        <f t="shared" si="12"/>
        <v>12</v>
      </c>
      <c r="H90" s="23">
        <f t="shared" si="13"/>
        <v>1702</v>
      </c>
      <c r="I90" s="24">
        <v>0</v>
      </c>
      <c r="J90" s="25">
        <f t="shared" si="14"/>
        <v>1702</v>
      </c>
      <c r="K90" s="24">
        <f t="shared" si="15"/>
        <v>-1702</v>
      </c>
      <c r="L90" s="4">
        <f t="shared" si="16"/>
        <v>-6</v>
      </c>
      <c r="M90" s="5">
        <f t="shared" si="17"/>
        <v>6</v>
      </c>
      <c r="N90" s="5">
        <f t="shared" si="18"/>
        <v>0</v>
      </c>
      <c r="O90" s="23">
        <f t="shared" si="19"/>
        <v>0</v>
      </c>
      <c r="P90" s="4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</row>
    <row r="91" spans="1:50" s="42" customFormat="1" x14ac:dyDescent="0.3">
      <c r="A91" s="35"/>
      <c r="B91" s="36"/>
      <c r="C91" s="35" t="s">
        <v>24</v>
      </c>
      <c r="D91" s="37" t="s">
        <v>102</v>
      </c>
      <c r="E91" s="49">
        <v>1716</v>
      </c>
      <c r="F91" s="48">
        <v>1726</v>
      </c>
      <c r="G91" s="40">
        <f t="shared" si="12"/>
        <v>10</v>
      </c>
      <c r="H91" s="41">
        <f t="shared" si="13"/>
        <v>1721</v>
      </c>
      <c r="J91" s="43">
        <f t="shared" si="14"/>
        <v>1721</v>
      </c>
      <c r="K91" s="42">
        <f t="shared" si="15"/>
        <v>-1721</v>
      </c>
      <c r="L91" s="44">
        <f t="shared" si="16"/>
        <v>-5</v>
      </c>
      <c r="M91" s="40">
        <f t="shared" si="17"/>
        <v>5</v>
      </c>
      <c r="N91" s="40">
        <f t="shared" si="18"/>
        <v>0</v>
      </c>
      <c r="O91" s="41">
        <f t="shared" si="19"/>
        <v>0</v>
      </c>
      <c r="P91" s="44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</row>
    <row r="92" spans="1:50" s="24" customFormat="1" x14ac:dyDescent="0.3">
      <c r="A92" s="1"/>
      <c r="B92"/>
      <c r="C92" s="1" t="s">
        <v>24</v>
      </c>
      <c r="D92" s="22" t="s">
        <v>103</v>
      </c>
      <c r="E92" s="34">
        <v>1720</v>
      </c>
      <c r="F92" s="56">
        <v>1730</v>
      </c>
      <c r="G92" s="5">
        <f t="shared" si="12"/>
        <v>10</v>
      </c>
      <c r="H92" s="23">
        <f t="shared" si="13"/>
        <v>1725</v>
      </c>
      <c r="I92" s="24">
        <v>0</v>
      </c>
      <c r="J92" s="25">
        <f t="shared" si="14"/>
        <v>1725</v>
      </c>
      <c r="K92" s="24">
        <f t="shared" si="15"/>
        <v>-1725</v>
      </c>
      <c r="L92" s="4">
        <f t="shared" si="16"/>
        <v>-5</v>
      </c>
      <c r="M92" s="5">
        <f t="shared" si="17"/>
        <v>5</v>
      </c>
      <c r="N92" s="5">
        <f t="shared" si="18"/>
        <v>0</v>
      </c>
      <c r="O92" s="23">
        <f t="shared" si="19"/>
        <v>0</v>
      </c>
      <c r="P92" s="4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</row>
    <row r="93" spans="1:50" s="24" customFormat="1" x14ac:dyDescent="0.3">
      <c r="A93" s="1"/>
      <c r="B93"/>
      <c r="C93" s="1" t="s">
        <v>24</v>
      </c>
      <c r="D93" s="22" t="s">
        <v>104</v>
      </c>
      <c r="E93" s="34">
        <v>1745</v>
      </c>
      <c r="F93" s="56">
        <v>1755</v>
      </c>
      <c r="G93" s="5">
        <f t="shared" si="12"/>
        <v>10</v>
      </c>
      <c r="H93" s="23">
        <f t="shared" si="13"/>
        <v>1750</v>
      </c>
      <c r="I93" s="24">
        <v>0</v>
      </c>
      <c r="J93" s="25">
        <f t="shared" si="14"/>
        <v>1750</v>
      </c>
      <c r="K93" s="24">
        <f t="shared" si="15"/>
        <v>-1750</v>
      </c>
      <c r="L93" s="4">
        <f t="shared" si="16"/>
        <v>-5</v>
      </c>
      <c r="M93" s="5">
        <f t="shared" si="17"/>
        <v>5</v>
      </c>
      <c r="N93" s="5">
        <f t="shared" si="18"/>
        <v>0</v>
      </c>
      <c r="O93" s="23">
        <f t="shared" si="19"/>
        <v>0</v>
      </c>
      <c r="P93" s="4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</row>
    <row r="94" spans="1:50" s="24" customFormat="1" x14ac:dyDescent="0.3">
      <c r="A94" s="1"/>
      <c r="B94"/>
      <c r="C94" s="1" t="s">
        <v>24</v>
      </c>
      <c r="D94" s="22" t="s">
        <v>105</v>
      </c>
      <c r="E94" s="56">
        <v>1759</v>
      </c>
      <c r="F94" s="56">
        <v>1769</v>
      </c>
      <c r="G94" s="5">
        <f t="shared" si="12"/>
        <v>10</v>
      </c>
      <c r="H94" s="23">
        <f t="shared" si="13"/>
        <v>1764</v>
      </c>
      <c r="I94" s="24">
        <v>0</v>
      </c>
      <c r="J94" s="25">
        <f t="shared" si="14"/>
        <v>1764</v>
      </c>
      <c r="K94" s="24">
        <f t="shared" si="15"/>
        <v>-1764</v>
      </c>
      <c r="L94" s="4">
        <f t="shared" si="16"/>
        <v>-5</v>
      </c>
      <c r="M94" s="5">
        <f t="shared" si="17"/>
        <v>5</v>
      </c>
      <c r="N94" s="5">
        <f t="shared" si="18"/>
        <v>0</v>
      </c>
      <c r="O94" s="23">
        <f t="shared" si="19"/>
        <v>0</v>
      </c>
      <c r="P94" s="4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</row>
    <row r="95" spans="1:50" s="24" customFormat="1" x14ac:dyDescent="0.3">
      <c r="A95" s="1"/>
      <c r="B95"/>
      <c r="C95" s="1" t="s">
        <v>24</v>
      </c>
      <c r="D95" s="22" t="s">
        <v>106</v>
      </c>
      <c r="E95" s="56">
        <v>1769</v>
      </c>
      <c r="F95" s="56">
        <v>1779</v>
      </c>
      <c r="G95" s="5">
        <f t="shared" si="12"/>
        <v>10</v>
      </c>
      <c r="H95" s="23">
        <f t="shared" si="13"/>
        <v>1774</v>
      </c>
      <c r="I95" s="24">
        <v>0</v>
      </c>
      <c r="J95" s="25">
        <f t="shared" si="14"/>
        <v>1774</v>
      </c>
      <c r="K95" s="24">
        <f t="shared" si="15"/>
        <v>-1774</v>
      </c>
      <c r="L95" s="4">
        <f t="shared" si="16"/>
        <v>-5</v>
      </c>
      <c r="M95" s="5">
        <f t="shared" si="17"/>
        <v>5</v>
      </c>
      <c r="N95" s="5">
        <f t="shared" si="18"/>
        <v>0</v>
      </c>
      <c r="O95" s="23">
        <f t="shared" si="19"/>
        <v>0</v>
      </c>
      <c r="P95" s="4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</row>
    <row r="96" spans="1:50" s="24" customFormat="1" x14ac:dyDescent="0.3">
      <c r="A96" s="1"/>
      <c r="B96"/>
      <c r="C96" s="1" t="s">
        <v>24</v>
      </c>
      <c r="D96" s="22" t="s">
        <v>107</v>
      </c>
      <c r="E96" s="56">
        <v>1838</v>
      </c>
      <c r="F96" s="56">
        <v>1858</v>
      </c>
      <c r="G96" s="5">
        <f t="shared" si="12"/>
        <v>20</v>
      </c>
      <c r="H96" s="23">
        <f t="shared" si="13"/>
        <v>1848</v>
      </c>
      <c r="I96" s="24">
        <v>0</v>
      </c>
      <c r="J96" s="25">
        <f t="shared" si="14"/>
        <v>1848</v>
      </c>
      <c r="K96" s="24">
        <f t="shared" si="15"/>
        <v>-1848</v>
      </c>
      <c r="L96" s="4">
        <f t="shared" si="16"/>
        <v>-10</v>
      </c>
      <c r="M96" s="5">
        <f t="shared" si="17"/>
        <v>10</v>
      </c>
      <c r="N96" s="5">
        <f t="shared" si="18"/>
        <v>0</v>
      </c>
      <c r="O96" s="23">
        <f t="shared" si="19"/>
        <v>0</v>
      </c>
      <c r="P96" s="4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</row>
    <row r="97" spans="1:50" s="42" customFormat="1" x14ac:dyDescent="0.3">
      <c r="A97" s="35"/>
      <c r="B97" s="36"/>
      <c r="C97" s="35" t="s">
        <v>24</v>
      </c>
      <c r="D97" s="37" t="s">
        <v>108</v>
      </c>
      <c r="E97" s="49">
        <v>2006</v>
      </c>
      <c r="F97" s="49">
        <v>2020</v>
      </c>
      <c r="G97" s="40">
        <f t="shared" si="12"/>
        <v>14</v>
      </c>
      <c r="H97" s="41">
        <f t="shared" si="13"/>
        <v>2013</v>
      </c>
      <c r="J97" s="43">
        <f t="shared" si="14"/>
        <v>2013</v>
      </c>
      <c r="K97" s="42">
        <f t="shared" si="15"/>
        <v>-2013</v>
      </c>
      <c r="L97" s="44">
        <f t="shared" si="16"/>
        <v>-7</v>
      </c>
      <c r="M97" s="40">
        <f t="shared" si="17"/>
        <v>7</v>
      </c>
      <c r="N97" s="40">
        <f t="shared" si="18"/>
        <v>0</v>
      </c>
      <c r="O97" s="41">
        <f t="shared" si="19"/>
        <v>0</v>
      </c>
      <c r="P97" s="44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</row>
    <row r="98" spans="1:50" s="42" customFormat="1" x14ac:dyDescent="0.3">
      <c r="A98" s="35"/>
      <c r="B98" s="36"/>
      <c r="C98" s="35" t="s">
        <v>24</v>
      </c>
      <c r="D98" s="37" t="s">
        <v>109</v>
      </c>
      <c r="E98" s="49">
        <v>2030</v>
      </c>
      <c r="F98" s="49">
        <v>2040</v>
      </c>
      <c r="G98" s="40">
        <f t="shared" si="12"/>
        <v>10</v>
      </c>
      <c r="H98" s="41">
        <f t="shared" si="13"/>
        <v>2035</v>
      </c>
      <c r="J98" s="43">
        <f t="shared" si="14"/>
        <v>2035</v>
      </c>
      <c r="K98" s="42">
        <f t="shared" si="15"/>
        <v>-2035</v>
      </c>
      <c r="L98" s="44">
        <f t="shared" si="16"/>
        <v>-5</v>
      </c>
      <c r="M98" s="40">
        <f t="shared" si="17"/>
        <v>5</v>
      </c>
      <c r="N98" s="40">
        <f t="shared" si="18"/>
        <v>0</v>
      </c>
      <c r="O98" s="41">
        <f t="shared" si="19"/>
        <v>0</v>
      </c>
      <c r="P98" s="44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</row>
    <row r="99" spans="1:50" s="24" customFormat="1" x14ac:dyDescent="0.3">
      <c r="A99" s="1"/>
      <c r="B99"/>
      <c r="C99" s="1" t="s">
        <v>24</v>
      </c>
      <c r="D99" s="22" t="s">
        <v>110</v>
      </c>
      <c r="E99" s="57">
        <v>2038</v>
      </c>
      <c r="F99" s="34">
        <v>2058</v>
      </c>
      <c r="G99" s="5">
        <f t="shared" si="12"/>
        <v>20</v>
      </c>
      <c r="H99" s="23">
        <f t="shared" si="13"/>
        <v>2048</v>
      </c>
      <c r="I99" s="24">
        <v>0</v>
      </c>
      <c r="J99" s="25">
        <f t="shared" si="14"/>
        <v>2048</v>
      </c>
      <c r="K99" s="24">
        <f t="shared" si="15"/>
        <v>-2048</v>
      </c>
      <c r="L99" s="4">
        <f t="shared" si="16"/>
        <v>-10</v>
      </c>
      <c r="M99" s="5">
        <f t="shared" si="17"/>
        <v>10</v>
      </c>
      <c r="N99" s="5">
        <f t="shared" si="18"/>
        <v>0</v>
      </c>
      <c r="O99" s="23">
        <f t="shared" si="19"/>
        <v>0</v>
      </c>
      <c r="P99" s="4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</row>
    <row r="100" spans="1:50" s="42" customFormat="1" x14ac:dyDescent="0.3">
      <c r="A100" s="35"/>
      <c r="B100" s="36"/>
      <c r="C100" s="35" t="s">
        <v>24</v>
      </c>
      <c r="D100" s="37" t="s">
        <v>111</v>
      </c>
      <c r="E100" s="49">
        <v>2106</v>
      </c>
      <c r="F100" s="49">
        <v>2126</v>
      </c>
      <c r="G100" s="40">
        <f t="shared" si="12"/>
        <v>20</v>
      </c>
      <c r="H100" s="41">
        <f t="shared" si="13"/>
        <v>2116</v>
      </c>
      <c r="J100" s="43">
        <f t="shared" si="14"/>
        <v>2116</v>
      </c>
      <c r="K100" s="42">
        <f t="shared" si="15"/>
        <v>-2116</v>
      </c>
      <c r="L100" s="44">
        <f t="shared" si="16"/>
        <v>-10</v>
      </c>
      <c r="M100" s="40">
        <f t="shared" si="17"/>
        <v>10</v>
      </c>
      <c r="N100" s="40">
        <f t="shared" si="18"/>
        <v>0</v>
      </c>
      <c r="O100" s="41">
        <f t="shared" si="19"/>
        <v>0</v>
      </c>
      <c r="P100" s="44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</row>
    <row r="101" spans="1:50" s="24" customFormat="1" x14ac:dyDescent="0.3">
      <c r="A101" s="1"/>
      <c r="B101"/>
      <c r="C101" s="1" t="s">
        <v>24</v>
      </c>
      <c r="D101" s="22" t="s">
        <v>112</v>
      </c>
      <c r="E101" s="34">
        <v>2174</v>
      </c>
      <c r="F101" s="34">
        <v>2194</v>
      </c>
      <c r="G101" s="5">
        <f t="shared" si="12"/>
        <v>20</v>
      </c>
      <c r="H101" s="23">
        <f t="shared" si="13"/>
        <v>2184</v>
      </c>
      <c r="I101" s="24">
        <v>0</v>
      </c>
      <c r="J101" s="25">
        <f t="shared" si="14"/>
        <v>2184</v>
      </c>
      <c r="K101" s="24">
        <f t="shared" si="15"/>
        <v>-2184</v>
      </c>
      <c r="L101" s="4">
        <f t="shared" si="16"/>
        <v>-10</v>
      </c>
      <c r="M101" s="5">
        <f t="shared" si="17"/>
        <v>10</v>
      </c>
      <c r="N101" s="5">
        <f t="shared" si="18"/>
        <v>0</v>
      </c>
      <c r="O101" s="23">
        <f t="shared" si="19"/>
        <v>0</v>
      </c>
      <c r="P101" s="4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</row>
    <row r="102" spans="1:50" s="24" customFormat="1" x14ac:dyDescent="0.3">
      <c r="A102" s="1"/>
      <c r="B102"/>
      <c r="C102" s="1" t="s">
        <v>24</v>
      </c>
      <c r="D102" s="22" t="s">
        <v>113</v>
      </c>
      <c r="E102" s="34">
        <v>2254</v>
      </c>
      <c r="F102" s="34">
        <v>2274</v>
      </c>
      <c r="G102" s="5">
        <f t="shared" si="12"/>
        <v>20</v>
      </c>
      <c r="H102" s="23">
        <f t="shared" si="13"/>
        <v>2264</v>
      </c>
      <c r="I102" s="24">
        <v>0</v>
      </c>
      <c r="J102" s="25">
        <f t="shared" si="14"/>
        <v>2264</v>
      </c>
      <c r="K102" s="24">
        <f t="shared" si="15"/>
        <v>-2264</v>
      </c>
      <c r="L102" s="4">
        <f t="shared" si="16"/>
        <v>-10</v>
      </c>
      <c r="M102" s="5">
        <f t="shared" si="17"/>
        <v>10</v>
      </c>
      <c r="N102" s="5">
        <f t="shared" si="18"/>
        <v>0</v>
      </c>
      <c r="O102" s="23">
        <f t="shared" si="19"/>
        <v>0</v>
      </c>
      <c r="P102" s="4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</row>
    <row r="103" spans="1:50" s="24" customFormat="1" x14ac:dyDescent="0.3">
      <c r="A103" s="1"/>
      <c r="B103"/>
      <c r="C103" s="1" t="s">
        <v>24</v>
      </c>
      <c r="D103" s="22" t="s">
        <v>114</v>
      </c>
      <c r="E103" s="34">
        <v>2299</v>
      </c>
      <c r="F103" s="34">
        <v>2319</v>
      </c>
      <c r="G103" s="5">
        <f t="shared" si="12"/>
        <v>20</v>
      </c>
      <c r="H103" s="23">
        <f t="shared" si="13"/>
        <v>2309</v>
      </c>
      <c r="I103" s="24">
        <v>0</v>
      </c>
      <c r="J103" s="25">
        <f t="shared" si="14"/>
        <v>2309</v>
      </c>
      <c r="K103" s="24">
        <f t="shared" si="15"/>
        <v>-2309</v>
      </c>
      <c r="L103" s="4">
        <f t="shared" si="16"/>
        <v>-10</v>
      </c>
      <c r="M103" s="5">
        <f t="shared" si="17"/>
        <v>10</v>
      </c>
      <c r="N103" s="5">
        <f t="shared" si="18"/>
        <v>0</v>
      </c>
      <c r="O103" s="23">
        <f t="shared" si="19"/>
        <v>0</v>
      </c>
      <c r="P103" s="4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</row>
  </sheetData>
  <mergeCells count="3">
    <mergeCell ref="E2:H2"/>
    <mergeCell ref="I2:K2"/>
    <mergeCell ref="L2:O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</vt:lpstr>
      <vt:lpstr>C6C12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Jaimie Ritchie</dc:creator>
  <cp:lastModifiedBy>Jaimie Ritchie</cp:lastModifiedBy>
  <dcterms:created xsi:type="dcterms:W3CDTF">2025-10-20T19:52:42Z</dcterms:created>
  <dcterms:modified xsi:type="dcterms:W3CDTF">2026-04-15T17:33:29Z</dcterms:modified>
</cp:coreProperties>
</file>